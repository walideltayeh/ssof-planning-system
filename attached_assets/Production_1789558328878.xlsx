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irglobalcloud-my.sharepoint.com/personal/walid_eltayeh_air_global/Documents/Downloads/"/>
    </mc:Choice>
  </mc:AlternateContent>
  <xr:revisionPtr revIDLastSave="11" documentId="8_{A047C481-CEBD-49B3-B1CC-16222DD25882}" xr6:coauthVersionLast="47" xr6:coauthVersionMax="47" xr10:uidLastSave="{7B0C4F5C-511A-4B96-8650-3CF7C66AF02D}"/>
  <bookViews>
    <workbookView xWindow="-108" yWindow="-108" windowWidth="23256" windowHeight="13896" activeTab="2" xr2:uid="{E0C97414-BB73-49C3-8F4A-109228AC37F3}"/>
  </bookViews>
  <sheets>
    <sheet name="Production" sheetId="1" r:id="rId1"/>
    <sheet name="Arrival" sheetId="2" r:id="rId2"/>
    <sheet name="Closing Stock Sep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7" i="2" l="1"/>
  <c r="I17" i="2"/>
  <c r="H17" i="2"/>
  <c r="G17" i="2"/>
  <c r="F17" i="2"/>
  <c r="E17" i="2"/>
  <c r="D17" i="2"/>
  <c r="C17" i="2"/>
  <c r="B17" i="2"/>
  <c r="G23" i="1"/>
  <c r="G22" i="1"/>
  <c r="G21" i="1"/>
  <c r="G20" i="1"/>
  <c r="G19" i="1"/>
  <c r="G18" i="1"/>
  <c r="G17" i="1"/>
  <c r="G16" i="1"/>
  <c r="G15" i="1"/>
  <c r="G13" i="1"/>
  <c r="G12" i="1"/>
  <c r="G11" i="1"/>
  <c r="G10" i="1"/>
  <c r="G9" i="1"/>
  <c r="G8" i="1"/>
  <c r="G7" i="1"/>
  <c r="G6" i="1"/>
  <c r="G4" i="1"/>
  <c r="G3" i="1"/>
  <c r="G2" i="1"/>
</calcChain>
</file>

<file path=xl/sharedStrings.xml><?xml version="1.0" encoding="utf-8"?>
<sst xmlns="http://schemas.openxmlformats.org/spreadsheetml/2006/main" count="122" uniqueCount="41">
  <si>
    <t>Date</t>
  </si>
  <si>
    <t>Market</t>
  </si>
  <si>
    <t>Flavor</t>
  </si>
  <si>
    <t>Weight</t>
  </si>
  <si>
    <t>Packaging</t>
  </si>
  <si>
    <t>Quantity in Kg</t>
  </si>
  <si>
    <t>Quantity in MC</t>
  </si>
  <si>
    <t>Syria</t>
  </si>
  <si>
    <t>Two Apples</t>
  </si>
  <si>
    <t>1000gr</t>
  </si>
  <si>
    <t>New</t>
  </si>
  <si>
    <t>250gr</t>
  </si>
  <si>
    <t>50gr</t>
  </si>
  <si>
    <t>Old</t>
  </si>
  <si>
    <t>Grape</t>
  </si>
  <si>
    <t>Dreams Magic Love</t>
  </si>
  <si>
    <t>Frosty Two Apples</t>
  </si>
  <si>
    <t>Grape With Mint</t>
  </si>
  <si>
    <t>Mint</t>
  </si>
  <si>
    <t>Ajman</t>
  </si>
  <si>
    <t>Beirut</t>
  </si>
  <si>
    <t>Arrival</t>
  </si>
  <si>
    <t xml:space="preserve">Feb </t>
  </si>
  <si>
    <t>April</t>
  </si>
  <si>
    <t>May</t>
  </si>
  <si>
    <t>Sept</t>
  </si>
  <si>
    <t>Two Apple 1kg</t>
  </si>
  <si>
    <t>Grape 1kg</t>
  </si>
  <si>
    <t xml:space="preserve">Two Apple 250g </t>
  </si>
  <si>
    <t>Grap 250g</t>
  </si>
  <si>
    <t>Two Apple 50g Old</t>
  </si>
  <si>
    <t>Two Apple 50g</t>
  </si>
  <si>
    <t>Grape 50g</t>
  </si>
  <si>
    <t>Magic Love 50g</t>
  </si>
  <si>
    <t>Frosty 50g</t>
  </si>
  <si>
    <t>Blueberry 50g</t>
  </si>
  <si>
    <t xml:space="preserve">Grape and mint 50g </t>
  </si>
  <si>
    <t>Grape and Mint 1kg</t>
  </si>
  <si>
    <t>Total</t>
  </si>
  <si>
    <t>Mint 50g</t>
  </si>
  <si>
    <t>as of 16 sept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</si>
</sst>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AF2D0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3" fillId="2" borderId="0" xfId="0" applyFont="1" applyFill="1"/>
    <xf numFmtId="0" fontId="4" fillId="0" borderId="0" xfId="0" applyFont="1"/>
    <xf numFmtId="17" fontId="4" fillId="3" borderId="0" xfId="0" applyNumberFormat="1" applyFont="1" applyFill="1"/>
    <xf numFmtId="0" fontId="4" fillId="3" borderId="0" xfId="0" applyFont="1" applyFill="1"/>
    <xf numFmtId="4" fontId="4" fillId="3" borderId="0" xfId="0" applyNumberFormat="1" applyFont="1" applyFill="1"/>
    <xf numFmtId="17" fontId="4" fillId="0" borderId="0" xfId="0" applyNumberFormat="1" applyFont="1"/>
    <xf numFmtId="4" fontId="4" fillId="0" borderId="0" xfId="0" applyNumberFormat="1" applyFont="1"/>
    <xf numFmtId="4" fontId="4" fillId="4" borderId="0" xfId="0" applyNumberFormat="1" applyFont="1" applyFill="1"/>
    <xf numFmtId="4" fontId="4" fillId="5" borderId="0" xfId="0" applyNumberFormat="1" applyFont="1" applyFill="1"/>
    <xf numFmtId="0" fontId="4" fillId="4" borderId="0" xfId="0" applyFont="1" applyFill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164" fontId="0" fillId="6" borderId="0" xfId="1" applyNumberFormat="1" applyFont="1" applyFill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0" fillId="6" borderId="0" xfId="0" applyFill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9CEB-5FFD-477B-BD5F-C308E2612B26}">
  <dimension ref="A1:I23"/>
  <sheetViews>
    <sheetView workbookViewId="0">
      <selection activeCell="H6" sqref="H6"/>
    </sheetView>
  </sheetViews>
  <sheetFormatPr defaultRowHeight="14.4" x14ac:dyDescent="0.3"/>
  <cols>
    <col min="1" max="1" width="6.88671875" bestFit="1" customWidth="1"/>
    <col min="2" max="2" width="6.77734375" bestFit="1" customWidth="1"/>
    <col min="3" max="3" width="16.5546875" bestFit="1" customWidth="1"/>
    <col min="4" max="4" width="6.77734375" bestFit="1" customWidth="1"/>
    <col min="5" max="5" width="9.44140625" bestFit="1" customWidth="1"/>
    <col min="6" max="6" width="12.33203125" bestFit="1" customWidth="1"/>
    <col min="7" max="7" width="13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</row>
    <row r="2" spans="1:9" x14ac:dyDescent="0.3">
      <c r="A2" s="3">
        <v>46113</v>
      </c>
      <c r="B2" s="4" t="s">
        <v>7</v>
      </c>
      <c r="C2" s="4" t="s">
        <v>8</v>
      </c>
      <c r="D2" s="4" t="s">
        <v>9</v>
      </c>
      <c r="E2" s="4" t="s">
        <v>10</v>
      </c>
      <c r="F2" s="5">
        <v>26898</v>
      </c>
      <c r="G2" s="5">
        <f>F2/6</f>
        <v>4483</v>
      </c>
      <c r="H2" s="2"/>
      <c r="I2" s="2"/>
    </row>
    <row r="3" spans="1:9" x14ac:dyDescent="0.3">
      <c r="A3" s="6">
        <v>46113</v>
      </c>
      <c r="B3" s="2" t="s">
        <v>7</v>
      </c>
      <c r="C3" s="2" t="s">
        <v>8</v>
      </c>
      <c r="D3" s="2" t="s">
        <v>11</v>
      </c>
      <c r="E3" s="2" t="s">
        <v>10</v>
      </c>
      <c r="F3" s="7">
        <v>10500</v>
      </c>
      <c r="G3" s="5">
        <f t="shared" ref="G3:G23" si="0">F3/6</f>
        <v>1750</v>
      </c>
      <c r="H3" s="2"/>
      <c r="I3" s="2"/>
    </row>
    <row r="4" spans="1:9" x14ac:dyDescent="0.3">
      <c r="A4" s="3">
        <v>46113</v>
      </c>
      <c r="B4" s="4" t="s">
        <v>7</v>
      </c>
      <c r="C4" s="4" t="s">
        <v>8</v>
      </c>
      <c r="D4" s="4" t="s">
        <v>12</v>
      </c>
      <c r="E4" s="4" t="s">
        <v>10</v>
      </c>
      <c r="F4" s="5">
        <v>21600</v>
      </c>
      <c r="G4" s="5">
        <f t="shared" si="0"/>
        <v>3600</v>
      </c>
      <c r="H4" s="2"/>
      <c r="I4" s="2"/>
    </row>
    <row r="6" spans="1:9" x14ac:dyDescent="0.3">
      <c r="A6" s="6">
        <v>46143</v>
      </c>
      <c r="B6" s="2" t="s">
        <v>7</v>
      </c>
      <c r="C6" s="2" t="s">
        <v>8</v>
      </c>
      <c r="D6" s="2" t="s">
        <v>12</v>
      </c>
      <c r="E6" s="2" t="s">
        <v>13</v>
      </c>
      <c r="F6" s="8">
        <v>39000</v>
      </c>
      <c r="G6" s="5">
        <f t="shared" si="0"/>
        <v>6500</v>
      </c>
      <c r="H6" s="2"/>
      <c r="I6" s="2"/>
    </row>
    <row r="7" spans="1:9" x14ac:dyDescent="0.3">
      <c r="A7" s="3">
        <v>46143</v>
      </c>
      <c r="B7" s="4" t="s">
        <v>7</v>
      </c>
      <c r="C7" s="4" t="s">
        <v>8</v>
      </c>
      <c r="D7" s="4" t="s">
        <v>12</v>
      </c>
      <c r="E7" s="4" t="s">
        <v>10</v>
      </c>
      <c r="F7" s="9">
        <v>39000</v>
      </c>
      <c r="G7" s="5">
        <f t="shared" si="0"/>
        <v>6500</v>
      </c>
      <c r="H7" s="2"/>
      <c r="I7" s="2"/>
    </row>
    <row r="8" spans="1:9" x14ac:dyDescent="0.3">
      <c r="A8" s="6">
        <v>46143</v>
      </c>
      <c r="B8" s="2" t="s">
        <v>7</v>
      </c>
      <c r="C8" s="2" t="s">
        <v>14</v>
      </c>
      <c r="D8" s="2" t="s">
        <v>9</v>
      </c>
      <c r="E8" s="4" t="s">
        <v>10</v>
      </c>
      <c r="F8" s="10">
        <v>300</v>
      </c>
      <c r="G8" s="5">
        <f t="shared" si="0"/>
        <v>50</v>
      </c>
      <c r="H8" s="2"/>
      <c r="I8" s="2"/>
    </row>
    <row r="9" spans="1:9" x14ac:dyDescent="0.3">
      <c r="A9" s="3">
        <v>46143</v>
      </c>
      <c r="B9" s="4" t="s">
        <v>7</v>
      </c>
      <c r="C9" s="4" t="s">
        <v>8</v>
      </c>
      <c r="D9" s="4" t="s">
        <v>12</v>
      </c>
      <c r="E9" s="4" t="s">
        <v>10</v>
      </c>
      <c r="F9" s="9">
        <v>7884</v>
      </c>
      <c r="G9" s="5">
        <f t="shared" si="0"/>
        <v>1314</v>
      </c>
      <c r="H9" s="2"/>
      <c r="I9" s="2"/>
    </row>
    <row r="10" spans="1:9" x14ac:dyDescent="0.3">
      <c r="A10" s="6">
        <v>46143</v>
      </c>
      <c r="B10" s="2" t="s">
        <v>7</v>
      </c>
      <c r="C10" s="2" t="s">
        <v>15</v>
      </c>
      <c r="D10" s="2" t="s">
        <v>12</v>
      </c>
      <c r="E10" s="4" t="s">
        <v>10</v>
      </c>
      <c r="F10" s="8">
        <v>3666</v>
      </c>
      <c r="G10" s="5">
        <f t="shared" si="0"/>
        <v>611</v>
      </c>
      <c r="H10" s="2"/>
      <c r="I10" s="2"/>
    </row>
    <row r="11" spans="1:9" x14ac:dyDescent="0.3">
      <c r="A11" s="3">
        <v>46143</v>
      </c>
      <c r="B11" s="4" t="s">
        <v>7</v>
      </c>
      <c r="C11" s="4" t="s">
        <v>16</v>
      </c>
      <c r="D11" s="4" t="s">
        <v>12</v>
      </c>
      <c r="E11" s="4" t="s">
        <v>10</v>
      </c>
      <c r="F11" s="9">
        <v>16740</v>
      </c>
      <c r="G11" s="5">
        <f t="shared" si="0"/>
        <v>2790</v>
      </c>
      <c r="H11" s="2"/>
      <c r="I11" s="2"/>
    </row>
    <row r="12" spans="1:9" x14ac:dyDescent="0.3">
      <c r="A12" s="6">
        <v>46143</v>
      </c>
      <c r="B12" s="2" t="s">
        <v>7</v>
      </c>
      <c r="C12" s="2" t="s">
        <v>8</v>
      </c>
      <c r="D12" s="2" t="s">
        <v>12</v>
      </c>
      <c r="E12" s="2" t="s">
        <v>13</v>
      </c>
      <c r="F12" s="8">
        <v>6762</v>
      </c>
      <c r="G12" s="5">
        <f t="shared" si="0"/>
        <v>1127</v>
      </c>
      <c r="H12" s="2"/>
      <c r="I12" s="2"/>
    </row>
    <row r="13" spans="1:9" x14ac:dyDescent="0.3">
      <c r="A13" s="3">
        <v>46143</v>
      </c>
      <c r="B13" s="4" t="s">
        <v>7</v>
      </c>
      <c r="C13" s="4" t="s">
        <v>17</v>
      </c>
      <c r="D13" s="4" t="s">
        <v>9</v>
      </c>
      <c r="E13" s="4" t="s">
        <v>10</v>
      </c>
      <c r="F13" s="4">
        <v>300</v>
      </c>
      <c r="G13" s="5">
        <f t="shared" si="0"/>
        <v>50</v>
      </c>
      <c r="H13" s="2"/>
      <c r="I13" s="2"/>
    </row>
    <row r="15" spans="1:9" x14ac:dyDescent="0.3">
      <c r="A15" s="6">
        <v>46174</v>
      </c>
      <c r="B15" s="2" t="s">
        <v>7</v>
      </c>
      <c r="C15" s="2" t="s">
        <v>8</v>
      </c>
      <c r="D15" s="2" t="s">
        <v>9</v>
      </c>
      <c r="E15" s="2" t="s">
        <v>10</v>
      </c>
      <c r="F15" s="8">
        <v>60012</v>
      </c>
      <c r="G15" s="5">
        <f t="shared" si="0"/>
        <v>10002</v>
      </c>
      <c r="H15" s="2"/>
      <c r="I15" s="2"/>
    </row>
    <row r="16" spans="1:9" x14ac:dyDescent="0.3">
      <c r="A16" s="3">
        <v>46174</v>
      </c>
      <c r="B16" s="4" t="s">
        <v>7</v>
      </c>
      <c r="C16" s="4" t="s">
        <v>8</v>
      </c>
      <c r="D16" s="4" t="s">
        <v>11</v>
      </c>
      <c r="E16" s="2" t="s">
        <v>10</v>
      </c>
      <c r="F16" s="9">
        <v>17244</v>
      </c>
      <c r="G16" s="5">
        <f t="shared" si="0"/>
        <v>2874</v>
      </c>
      <c r="H16" s="2"/>
      <c r="I16" s="2"/>
    </row>
    <row r="17" spans="1:9" x14ac:dyDescent="0.3">
      <c r="A17" s="6">
        <v>46174</v>
      </c>
      <c r="B17" s="2" t="s">
        <v>7</v>
      </c>
      <c r="C17" s="2" t="s">
        <v>8</v>
      </c>
      <c r="D17" s="2" t="s">
        <v>12</v>
      </c>
      <c r="E17" s="2" t="s">
        <v>10</v>
      </c>
      <c r="F17" s="8">
        <v>73806</v>
      </c>
      <c r="G17" s="5">
        <f t="shared" si="0"/>
        <v>12301</v>
      </c>
      <c r="H17" s="2"/>
      <c r="I17" s="2"/>
    </row>
    <row r="18" spans="1:9" x14ac:dyDescent="0.3">
      <c r="A18" s="3">
        <v>46174</v>
      </c>
      <c r="B18" s="4" t="s">
        <v>7</v>
      </c>
      <c r="C18" s="4" t="s">
        <v>8</v>
      </c>
      <c r="D18" s="4" t="s">
        <v>9</v>
      </c>
      <c r="E18" s="2" t="s">
        <v>10</v>
      </c>
      <c r="F18" s="9">
        <v>27672</v>
      </c>
      <c r="G18" s="5">
        <f t="shared" si="0"/>
        <v>4612</v>
      </c>
      <c r="H18" s="2"/>
      <c r="I18" s="2"/>
    </row>
    <row r="19" spans="1:9" x14ac:dyDescent="0.3">
      <c r="A19" s="6">
        <v>46174</v>
      </c>
      <c r="B19" s="2" t="s">
        <v>7</v>
      </c>
      <c r="C19" s="2" t="s">
        <v>8</v>
      </c>
      <c r="D19" s="2" t="s">
        <v>11</v>
      </c>
      <c r="E19" s="2" t="s">
        <v>10</v>
      </c>
      <c r="F19" s="8">
        <v>34200</v>
      </c>
      <c r="G19" s="5">
        <f t="shared" si="0"/>
        <v>5700</v>
      </c>
      <c r="H19" s="2"/>
      <c r="I19" s="2"/>
    </row>
    <row r="20" spans="1:9" x14ac:dyDescent="0.3">
      <c r="A20" s="3">
        <v>46174</v>
      </c>
      <c r="B20" s="4" t="s">
        <v>7</v>
      </c>
      <c r="C20" s="4" t="s">
        <v>8</v>
      </c>
      <c r="D20" s="4" t="s">
        <v>12</v>
      </c>
      <c r="E20" s="2" t="s">
        <v>10</v>
      </c>
      <c r="F20" s="9">
        <v>62994</v>
      </c>
      <c r="G20" s="5">
        <f t="shared" si="0"/>
        <v>10499</v>
      </c>
      <c r="H20" s="2"/>
      <c r="I20" s="2"/>
    </row>
    <row r="21" spans="1:9" x14ac:dyDescent="0.3">
      <c r="A21" s="6">
        <v>46174</v>
      </c>
      <c r="B21" s="2" t="s">
        <v>7</v>
      </c>
      <c r="C21" s="2" t="s">
        <v>16</v>
      </c>
      <c r="D21" s="2" t="s">
        <v>12</v>
      </c>
      <c r="E21" s="2" t="s">
        <v>10</v>
      </c>
      <c r="F21" s="7">
        <v>19200</v>
      </c>
      <c r="G21" s="5">
        <f t="shared" si="0"/>
        <v>3200</v>
      </c>
      <c r="H21" s="2"/>
      <c r="I21" s="2"/>
    </row>
    <row r="22" spans="1:9" x14ac:dyDescent="0.3">
      <c r="A22" s="3">
        <v>46174</v>
      </c>
      <c r="B22" s="4" t="s">
        <v>7</v>
      </c>
      <c r="C22" s="4" t="s">
        <v>15</v>
      </c>
      <c r="D22" s="4" t="s">
        <v>12</v>
      </c>
      <c r="E22" s="2" t="s">
        <v>10</v>
      </c>
      <c r="F22" s="4">
        <v>600</v>
      </c>
      <c r="G22" s="5">
        <f t="shared" si="0"/>
        <v>100</v>
      </c>
      <c r="H22" s="2"/>
      <c r="I22" s="2"/>
    </row>
    <row r="23" spans="1:9" x14ac:dyDescent="0.3">
      <c r="A23" s="6">
        <v>46174</v>
      </c>
      <c r="B23" s="2" t="s">
        <v>7</v>
      </c>
      <c r="C23" s="2" t="s">
        <v>18</v>
      </c>
      <c r="D23" s="2" t="s">
        <v>12</v>
      </c>
      <c r="E23" s="2" t="s">
        <v>10</v>
      </c>
      <c r="F23" s="7">
        <v>1200</v>
      </c>
      <c r="G23" s="5">
        <f t="shared" si="0"/>
        <v>200</v>
      </c>
      <c r="H23" s="2"/>
      <c r="I2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995E3-3E8E-4C37-9807-E5D7371B40AF}">
  <dimension ref="A2:J17"/>
  <sheetViews>
    <sheetView workbookViewId="0">
      <selection activeCell="M17" sqref="M17"/>
    </sheetView>
  </sheetViews>
  <sheetFormatPr defaultRowHeight="14.4" x14ac:dyDescent="0.3"/>
  <cols>
    <col min="1" max="1" width="16.88671875" bestFit="1" customWidth="1"/>
  </cols>
  <sheetData>
    <row r="2" spans="1:10" x14ac:dyDescent="0.3">
      <c r="A2" s="11"/>
      <c r="B2" s="12" t="s">
        <v>19</v>
      </c>
      <c r="C2" s="12"/>
      <c r="D2" s="12"/>
      <c r="E2" s="12"/>
      <c r="F2" s="12"/>
      <c r="G2" s="12"/>
      <c r="H2" s="12"/>
      <c r="I2" s="12"/>
      <c r="J2" s="11" t="s">
        <v>20</v>
      </c>
    </row>
    <row r="3" spans="1:10" x14ac:dyDescent="0.3">
      <c r="A3" s="11" t="s">
        <v>21</v>
      </c>
      <c r="B3" s="13" t="s">
        <v>22</v>
      </c>
      <c r="C3" s="13" t="s">
        <v>23</v>
      </c>
      <c r="D3" s="13" t="s">
        <v>24</v>
      </c>
      <c r="E3" s="14" t="s">
        <v>24</v>
      </c>
      <c r="F3" s="13" t="s">
        <v>24</v>
      </c>
      <c r="G3" s="13" t="s">
        <v>24</v>
      </c>
      <c r="H3" s="13" t="s">
        <v>24</v>
      </c>
      <c r="I3" s="13" t="s">
        <v>24</v>
      </c>
      <c r="J3" s="13" t="s">
        <v>25</v>
      </c>
    </row>
    <row r="4" spans="1:10" x14ac:dyDescent="0.3">
      <c r="A4" s="13" t="s">
        <v>26</v>
      </c>
      <c r="B4" s="15">
        <v>600</v>
      </c>
      <c r="C4" s="15">
        <v>300</v>
      </c>
      <c r="D4" s="15">
        <v>3400</v>
      </c>
      <c r="E4" s="15">
        <v>1083</v>
      </c>
      <c r="F4" s="16"/>
      <c r="G4" s="16"/>
      <c r="H4" s="13"/>
      <c r="I4" s="13"/>
      <c r="J4" s="17">
        <v>3650</v>
      </c>
    </row>
    <row r="5" spans="1:10" x14ac:dyDescent="0.3">
      <c r="A5" s="13" t="s">
        <v>27</v>
      </c>
      <c r="B5" s="15">
        <v>150</v>
      </c>
      <c r="C5" s="15">
        <v>75</v>
      </c>
      <c r="D5" s="16"/>
      <c r="E5" s="16"/>
      <c r="F5" s="16"/>
      <c r="G5" s="16"/>
      <c r="H5" s="13"/>
      <c r="I5" s="13"/>
      <c r="J5" s="13"/>
    </row>
    <row r="6" spans="1:10" x14ac:dyDescent="0.3">
      <c r="A6" s="13" t="s">
        <v>28</v>
      </c>
      <c r="B6" s="15">
        <v>1200</v>
      </c>
      <c r="C6" s="15">
        <v>600</v>
      </c>
      <c r="D6" s="16"/>
      <c r="E6" s="15">
        <v>1749</v>
      </c>
      <c r="F6" s="16"/>
      <c r="G6" s="16"/>
      <c r="H6" s="13"/>
      <c r="I6" s="13"/>
      <c r="J6" s="17">
        <v>7250</v>
      </c>
    </row>
    <row r="7" spans="1:10" x14ac:dyDescent="0.3">
      <c r="A7" s="13" t="s">
        <v>29</v>
      </c>
      <c r="B7" s="15">
        <v>450</v>
      </c>
      <c r="C7" s="15">
        <v>225</v>
      </c>
      <c r="D7" s="16"/>
      <c r="E7" s="15"/>
      <c r="F7" s="16"/>
      <c r="G7" s="16"/>
      <c r="H7" s="13"/>
      <c r="I7" s="13"/>
      <c r="J7" s="13"/>
    </row>
    <row r="8" spans="1:10" x14ac:dyDescent="0.3">
      <c r="A8" s="13" t="s">
        <v>30</v>
      </c>
      <c r="B8" s="15">
        <v>9500</v>
      </c>
      <c r="C8" s="15">
        <v>10001</v>
      </c>
      <c r="D8" s="16"/>
      <c r="E8" s="15"/>
      <c r="F8" s="15">
        <v>6500</v>
      </c>
      <c r="G8" s="15"/>
      <c r="H8" s="17">
        <v>1127</v>
      </c>
      <c r="I8" s="13"/>
      <c r="J8" s="13"/>
    </row>
    <row r="9" spans="1:10" x14ac:dyDescent="0.3">
      <c r="A9" s="13" t="s">
        <v>31</v>
      </c>
      <c r="B9" s="15">
        <v>3500</v>
      </c>
      <c r="C9" s="15">
        <v>5250</v>
      </c>
      <c r="D9" s="16"/>
      <c r="E9" s="15">
        <v>3600</v>
      </c>
      <c r="F9" s="16"/>
      <c r="G9" s="15">
        <v>3250</v>
      </c>
      <c r="H9" s="17">
        <v>1314</v>
      </c>
      <c r="I9" s="17">
        <v>3249</v>
      </c>
      <c r="J9" s="17">
        <v>9000</v>
      </c>
    </row>
    <row r="10" spans="1:10" x14ac:dyDescent="0.3">
      <c r="A10" s="13" t="s">
        <v>32</v>
      </c>
      <c r="B10" s="15">
        <v>1200</v>
      </c>
      <c r="C10" s="15">
        <v>600</v>
      </c>
      <c r="D10" s="16"/>
      <c r="E10" s="16"/>
      <c r="F10" s="16"/>
      <c r="G10" s="16"/>
      <c r="H10" s="17">
        <v>50</v>
      </c>
      <c r="I10" s="13"/>
      <c r="J10" s="13"/>
    </row>
    <row r="11" spans="1:10" x14ac:dyDescent="0.3">
      <c r="A11" s="13" t="s">
        <v>33</v>
      </c>
      <c r="B11" s="15">
        <v>150</v>
      </c>
      <c r="C11" s="15">
        <v>75</v>
      </c>
      <c r="D11" s="16"/>
      <c r="E11" s="16"/>
      <c r="F11" s="16"/>
      <c r="G11" s="16"/>
      <c r="H11" s="17">
        <v>611</v>
      </c>
      <c r="I11" s="13"/>
      <c r="J11" s="13"/>
    </row>
    <row r="12" spans="1:10" x14ac:dyDescent="0.3">
      <c r="A12" s="13" t="s">
        <v>34</v>
      </c>
      <c r="B12" s="15">
        <v>450</v>
      </c>
      <c r="C12" s="15">
        <v>225</v>
      </c>
      <c r="D12" s="16"/>
      <c r="E12" s="16"/>
      <c r="F12" s="16"/>
      <c r="G12" s="16"/>
      <c r="H12" s="17">
        <v>2790</v>
      </c>
      <c r="I12" s="13"/>
      <c r="J12" s="13"/>
    </row>
    <row r="13" spans="1:10" x14ac:dyDescent="0.3">
      <c r="A13" s="13" t="s">
        <v>35</v>
      </c>
      <c r="B13" s="15">
        <v>150</v>
      </c>
      <c r="C13" s="15">
        <v>75</v>
      </c>
      <c r="D13" s="16"/>
      <c r="E13" s="16"/>
      <c r="F13" s="16"/>
      <c r="G13" s="16"/>
      <c r="H13" s="13"/>
      <c r="I13" s="13"/>
      <c r="J13" s="13"/>
    </row>
    <row r="14" spans="1:10" x14ac:dyDescent="0.3">
      <c r="A14" s="13" t="s">
        <v>36</v>
      </c>
      <c r="B14" s="15">
        <v>150</v>
      </c>
      <c r="C14" s="15">
        <v>75</v>
      </c>
      <c r="D14" s="16"/>
      <c r="E14" s="16"/>
      <c r="F14" s="16"/>
      <c r="G14" s="16"/>
      <c r="H14" s="13"/>
      <c r="I14" s="13"/>
      <c r="J14" s="13"/>
    </row>
    <row r="15" spans="1:10" x14ac:dyDescent="0.3">
      <c r="A15" s="13" t="s">
        <v>37</v>
      </c>
      <c r="B15" s="16"/>
      <c r="C15" s="16"/>
      <c r="D15" s="16"/>
      <c r="E15" s="16"/>
      <c r="F15" s="16"/>
      <c r="G15" s="16"/>
      <c r="H15" s="17">
        <v>50</v>
      </c>
      <c r="I15" s="13"/>
      <c r="J15" s="13"/>
    </row>
    <row r="16" spans="1:10" x14ac:dyDescent="0.3">
      <c r="A16" s="13"/>
      <c r="B16" s="16"/>
      <c r="C16" s="16"/>
      <c r="D16" s="16"/>
      <c r="E16" s="16"/>
      <c r="F16" s="16"/>
      <c r="G16" s="16"/>
      <c r="H16" s="13"/>
      <c r="I16" s="13"/>
      <c r="J16" s="13"/>
    </row>
    <row r="17" spans="1:10" x14ac:dyDescent="0.3">
      <c r="A17" s="11" t="s">
        <v>38</v>
      </c>
      <c r="B17" s="18">
        <f>SUM(B4:B14)</f>
        <v>17500</v>
      </c>
      <c r="C17" s="18">
        <f>SUM(C4:C14)</f>
        <v>17501</v>
      </c>
      <c r="D17" s="18">
        <f t="shared" ref="D17:G17" si="0">SUM(D4:D14)</f>
        <v>3400</v>
      </c>
      <c r="E17" s="18">
        <f t="shared" si="0"/>
        <v>6432</v>
      </c>
      <c r="F17" s="18">
        <f t="shared" si="0"/>
        <v>6500</v>
      </c>
      <c r="G17" s="18">
        <f t="shared" si="0"/>
        <v>3250</v>
      </c>
      <c r="H17" s="18">
        <f>SUM(H4:H15)</f>
        <v>5942</v>
      </c>
      <c r="I17" s="18">
        <f>SUM(I4:I15)</f>
        <v>3249</v>
      </c>
      <c r="J17" s="18">
        <f>SUM(J4:J15)</f>
        <v>19900</v>
      </c>
    </row>
  </sheetData>
  <mergeCells count="1">
    <mergeCell ref="B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0F9D-7F29-44F8-BEBF-549E256CC3DC}">
  <dimension ref="B2:C11"/>
  <sheetViews>
    <sheetView tabSelected="1" workbookViewId="0">
      <selection activeCell="C2" sqref="C2"/>
    </sheetView>
  </sheetViews>
  <sheetFormatPr defaultRowHeight="14.4" x14ac:dyDescent="0.3"/>
  <cols>
    <col min="2" max="2" width="16.88671875" bestFit="1" customWidth="1"/>
  </cols>
  <sheetData>
    <row r="2" spans="2:3" x14ac:dyDescent="0.3">
      <c r="C2" t="s">
        <v>40</v>
      </c>
    </row>
    <row r="3" spans="2:3" x14ac:dyDescent="0.3">
      <c r="B3" s="13" t="s">
        <v>31</v>
      </c>
      <c r="C3" s="13">
        <v>2900</v>
      </c>
    </row>
    <row r="4" spans="2:3" x14ac:dyDescent="0.3">
      <c r="B4" s="13" t="s">
        <v>32</v>
      </c>
      <c r="C4" s="13">
        <v>1330</v>
      </c>
    </row>
    <row r="5" spans="2:3" x14ac:dyDescent="0.3">
      <c r="B5" s="13" t="s">
        <v>33</v>
      </c>
      <c r="C5" s="13">
        <v>511</v>
      </c>
    </row>
    <row r="6" spans="2:3" x14ac:dyDescent="0.3">
      <c r="B6" s="13" t="s">
        <v>34</v>
      </c>
      <c r="C6" s="13">
        <v>0</v>
      </c>
    </row>
    <row r="7" spans="2:3" x14ac:dyDescent="0.3">
      <c r="B7" s="13" t="s">
        <v>35</v>
      </c>
      <c r="C7" s="13">
        <v>0</v>
      </c>
    </row>
    <row r="8" spans="2:3" x14ac:dyDescent="0.3">
      <c r="B8" s="13" t="s">
        <v>36</v>
      </c>
      <c r="C8" s="13">
        <v>0</v>
      </c>
    </row>
    <row r="9" spans="2:3" x14ac:dyDescent="0.3">
      <c r="B9" s="13" t="s">
        <v>37</v>
      </c>
      <c r="C9" s="13">
        <v>0</v>
      </c>
    </row>
    <row r="10" spans="2:3" x14ac:dyDescent="0.3">
      <c r="B10" s="13" t="s">
        <v>39</v>
      </c>
      <c r="C10" s="13"/>
    </row>
    <row r="11" spans="2:3" x14ac:dyDescent="0.3">
      <c r="B11" s="11" t="s">
        <v>38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060ce6a-892b-492a-91d3-feb963ddd724}" enabled="1" method="Privileged" siteId="{f704ab1a-3e34-4240-bfe5-b8fce4f8d45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Arrival</vt:lpstr>
      <vt:lpstr>Closing Stock Sept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El Tayeh</dc:creator>
  <cp:lastModifiedBy>Walid El Tayeh</cp:lastModifiedBy>
  <dcterms:created xsi:type="dcterms:W3CDTF">2026-09-16T11:28:26Z</dcterms:created>
  <dcterms:modified xsi:type="dcterms:W3CDTF">2026-09-16T11:30:56Z</dcterms:modified>
</cp:coreProperties>
</file>