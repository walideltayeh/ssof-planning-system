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irglobalcloud-my.sharepoint.com/personal/walid_eltayeh_air_global/Documents/Desktop/"/>
    </mc:Choice>
  </mc:AlternateContent>
  <xr:revisionPtr revIDLastSave="8829" documentId="13_ncr:1_{A0570A3B-FABA-4B83-9EFF-42C7E010A941}" xr6:coauthVersionLast="47" xr6:coauthVersionMax="47" xr10:uidLastSave="{2D0DC600-E0B7-4FE4-8BAA-1AD0E7E902CC}"/>
  <bookViews>
    <workbookView xWindow="-110" yWindow="-110" windowWidth="22780" windowHeight="14540" tabRatio="901" activeTab="4" xr2:uid="{0046EE2B-A6A5-4A82-986E-F75062A774DB}"/>
  </bookViews>
  <sheets>
    <sheet name="Forecast" sheetId="8" r:id="rId1"/>
    <sheet name="IMS vs FRCST" sheetId="1" r:id="rId2"/>
    <sheet name="IMS +ve Sens" sheetId="2" r:id="rId3"/>
    <sheet name="IMS -ve Sens" sheetId="3" r:id="rId4"/>
    <sheet name="Shipment (Production)" sheetId="6" r:id="rId5"/>
    <sheet name="Arrival to Regie" sheetId="14" r:id="rId6"/>
    <sheet name="Planning FG 50g" sheetId="4" r:id="rId7"/>
    <sheet name="Planning FG 250g" sheetId="11" r:id="rId8"/>
    <sheet name="Planning FG 1kg" sheetId="12" r:id="rId9"/>
    <sheet name="Frcst vs IMS" sheetId="13" r:id="rId10"/>
    <sheet name="2026 Target Approved by AF" sheetId="19" r:id="rId11"/>
    <sheet name="320.000MC" sheetId="21" r:id="rId12"/>
    <sheet name="Recipients" sheetId="22" r:id="rId13"/>
  </sheets>
  <definedNames>
    <definedName name="_xlnm._FilterDatabase" localSheetId="5" hidden="1">'Arrival to Regie'!$A$3:$DZ$34</definedName>
    <definedName name="_xlnm._FilterDatabase" localSheetId="0" hidden="1">Forecast!$B$2:$AO$35</definedName>
    <definedName name="_xlnm._FilterDatabase" localSheetId="4" hidden="1">'Shipment (Production)'!$A$3:$GC$3</definedName>
    <definedName name="_xlnm.Print_Area" localSheetId="5">'Arrival to Regie'!$B$3:$BG$32</definedName>
    <definedName name="_xlnm.Print_Area" localSheetId="0">Forecast!$B$1:$AB$32</definedName>
    <definedName name="_xlnm.Print_Area" localSheetId="1">'IMS vs FRCST'!$B$2:$O$32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T38" i="6" l="1"/>
  <c r="S4" i="1"/>
  <c r="T4" i="1"/>
  <c r="U4" i="1"/>
  <c r="V4" i="1"/>
  <c r="W4" i="1"/>
  <c r="X4" i="1"/>
  <c r="S5" i="1"/>
  <c r="T5" i="1"/>
  <c r="U5" i="1"/>
  <c r="V5" i="1"/>
  <c r="W5" i="1"/>
  <c r="X5" i="1"/>
  <c r="S6" i="1"/>
  <c r="T6" i="1"/>
  <c r="U6" i="1"/>
  <c r="V6" i="1"/>
  <c r="W6" i="1"/>
  <c r="X6" i="1"/>
  <c r="S7" i="1"/>
  <c r="T7" i="1"/>
  <c r="U7" i="1"/>
  <c r="V7" i="1"/>
  <c r="W7" i="1"/>
  <c r="X7" i="1"/>
  <c r="S8" i="1"/>
  <c r="T8" i="1"/>
  <c r="U8" i="1"/>
  <c r="V8" i="1"/>
  <c r="W8" i="1"/>
  <c r="X8" i="1"/>
  <c r="S9" i="1"/>
  <c r="T9" i="1"/>
  <c r="U9" i="1"/>
  <c r="V9" i="1"/>
  <c r="W9" i="1"/>
  <c r="X9" i="1"/>
  <c r="S10" i="1"/>
  <c r="T10" i="1"/>
  <c r="U10" i="1"/>
  <c r="V10" i="1"/>
  <c r="W10" i="1"/>
  <c r="X10" i="1"/>
  <c r="S11" i="1"/>
  <c r="T11" i="1"/>
  <c r="U11" i="1"/>
  <c r="V11" i="1"/>
  <c r="W11" i="1"/>
  <c r="X11" i="1"/>
  <c r="S12" i="1"/>
  <c r="T12" i="1"/>
  <c r="U12" i="1"/>
  <c r="V12" i="1"/>
  <c r="W12" i="1"/>
  <c r="X12" i="1"/>
  <c r="S13" i="1"/>
  <c r="T13" i="1"/>
  <c r="U13" i="1"/>
  <c r="V13" i="1"/>
  <c r="W13" i="1"/>
  <c r="X13" i="1"/>
  <c r="S14" i="1"/>
  <c r="T14" i="1"/>
  <c r="U14" i="1"/>
  <c r="V14" i="1"/>
  <c r="W14" i="1"/>
  <c r="X14" i="1"/>
  <c r="S15" i="1"/>
  <c r="T15" i="1"/>
  <c r="U15" i="1"/>
  <c r="V15" i="1"/>
  <c r="W15" i="1"/>
  <c r="X15" i="1"/>
  <c r="S16" i="1"/>
  <c r="T16" i="1"/>
  <c r="U16" i="1"/>
  <c r="V16" i="1"/>
  <c r="W16" i="1"/>
  <c r="X16" i="1"/>
  <c r="S17" i="1"/>
  <c r="T17" i="1"/>
  <c r="U17" i="1"/>
  <c r="V17" i="1"/>
  <c r="W17" i="1"/>
  <c r="X17" i="1"/>
  <c r="S18" i="1"/>
  <c r="T18" i="1"/>
  <c r="U18" i="1"/>
  <c r="V18" i="1"/>
  <c r="W18" i="1"/>
  <c r="X18" i="1"/>
  <c r="Y4" i="1"/>
  <c r="Z4" i="1"/>
  <c r="AA4" i="1"/>
  <c r="Y5" i="1"/>
  <c r="Z5" i="1"/>
  <c r="AA5" i="1"/>
  <c r="Y6" i="1"/>
  <c r="Z6" i="1"/>
  <c r="AA6" i="1"/>
  <c r="Y7" i="1"/>
  <c r="Z7" i="1"/>
  <c r="AA7" i="1"/>
  <c r="Y8" i="1"/>
  <c r="Z8" i="1"/>
  <c r="AA8" i="1"/>
  <c r="Y9" i="1"/>
  <c r="Z9" i="1"/>
  <c r="AA9" i="1"/>
  <c r="Y10" i="1"/>
  <c r="Z10" i="1"/>
  <c r="AA10" i="1"/>
  <c r="Y11" i="1"/>
  <c r="Z11" i="1"/>
  <c r="AA11" i="1"/>
  <c r="Y12" i="1"/>
  <c r="Z12" i="1"/>
  <c r="AA12" i="1"/>
  <c r="Y13" i="1"/>
  <c r="Z13" i="1"/>
  <c r="AA13" i="1"/>
  <c r="Y14" i="1"/>
  <c r="Z14" i="1"/>
  <c r="AA14" i="1"/>
  <c r="Y15" i="1"/>
  <c r="Z15" i="1"/>
  <c r="AA15" i="1"/>
  <c r="Y16" i="1"/>
  <c r="Z16" i="1"/>
  <c r="AA16" i="1"/>
  <c r="Y17" i="1"/>
  <c r="Z17" i="1"/>
  <c r="AA17" i="1"/>
  <c r="Y18" i="1"/>
  <c r="Z18" i="1"/>
  <c r="AA18" i="1"/>
  <c r="S19" i="1"/>
  <c r="T19" i="1"/>
  <c r="U19" i="1"/>
  <c r="V19" i="1"/>
  <c r="W19" i="1"/>
  <c r="X19" i="1"/>
  <c r="Y19" i="1"/>
  <c r="Z19" i="1"/>
  <c r="AA19" i="1"/>
  <c r="S20" i="1"/>
  <c r="T20" i="1"/>
  <c r="U20" i="1"/>
  <c r="V20" i="1"/>
  <c r="W20" i="1"/>
  <c r="X20" i="1"/>
  <c r="Y20" i="1"/>
  <c r="Z20" i="1"/>
  <c r="AA20" i="1"/>
  <c r="S21" i="1"/>
  <c r="T21" i="1"/>
  <c r="U21" i="1"/>
  <c r="V21" i="1"/>
  <c r="W21" i="1"/>
  <c r="X21" i="1"/>
  <c r="Y21" i="1"/>
  <c r="Z21" i="1"/>
  <c r="AA21" i="1"/>
  <c r="S22" i="1"/>
  <c r="T22" i="1"/>
  <c r="U22" i="1"/>
  <c r="V22" i="1"/>
  <c r="W22" i="1"/>
  <c r="X22" i="1"/>
  <c r="Y22" i="1"/>
  <c r="Z22" i="1"/>
  <c r="AA22" i="1"/>
  <c r="S23" i="1"/>
  <c r="T23" i="1"/>
  <c r="U23" i="1"/>
  <c r="V23" i="1"/>
  <c r="W23" i="1"/>
  <c r="X23" i="1"/>
  <c r="Y23" i="1"/>
  <c r="Z23" i="1"/>
  <c r="AA23" i="1"/>
  <c r="S39" i="12"/>
  <c r="S38" i="12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BU5" i="6"/>
  <c r="BU6" i="6"/>
  <c r="BU7" i="6"/>
  <c r="BU8" i="6"/>
  <c r="BU9" i="6"/>
  <c r="BU10" i="6"/>
  <c r="BU11" i="6"/>
  <c r="BU12" i="6"/>
  <c r="BU13" i="6"/>
  <c r="BU14" i="6"/>
  <c r="BU15" i="6"/>
  <c r="BU16" i="6"/>
  <c r="BU17" i="6"/>
  <c r="BU18" i="6"/>
  <c r="BU19" i="6"/>
  <c r="BU20" i="6"/>
  <c r="BU21" i="6"/>
  <c r="BU22" i="6"/>
  <c r="BU23" i="6"/>
  <c r="BU24" i="6"/>
  <c r="BU25" i="6"/>
  <c r="BU26" i="6"/>
  <c r="BU27" i="6"/>
  <c r="BU28" i="6"/>
  <c r="BU29" i="6"/>
  <c r="BU30" i="6"/>
  <c r="BU31" i="6"/>
  <c r="BU32" i="6"/>
  <c r="BW13" i="14"/>
  <c r="BX12" i="14"/>
  <c r="BY15" i="14"/>
  <c r="DS4" i="6" l="1"/>
  <c r="DN4" i="6"/>
  <c r="DI4" i="6"/>
  <c r="DD4" i="6"/>
  <c r="CY5" i="6"/>
  <c r="CY6" i="6"/>
  <c r="CY7" i="6"/>
  <c r="CY8" i="6"/>
  <c r="CY9" i="6"/>
  <c r="CY10" i="6"/>
  <c r="CY11" i="6"/>
  <c r="CY12" i="6"/>
  <c r="CY13" i="6"/>
  <c r="CY14" i="6"/>
  <c r="CY15" i="6"/>
  <c r="CY16" i="6"/>
  <c r="CY17" i="6"/>
  <c r="CY18" i="6"/>
  <c r="CY19" i="6"/>
  <c r="CY20" i="6"/>
  <c r="CY21" i="6"/>
  <c r="CY22" i="6"/>
  <c r="CY23" i="6"/>
  <c r="CY24" i="6"/>
  <c r="CY25" i="6"/>
  <c r="CY26" i="6"/>
  <c r="CY27" i="6"/>
  <c r="CY28" i="6"/>
  <c r="CY29" i="6"/>
  <c r="CY30" i="6"/>
  <c r="CY31" i="6"/>
  <c r="CY32" i="6"/>
  <c r="CY4" i="6"/>
  <c r="CT5" i="6"/>
  <c r="CT6" i="6"/>
  <c r="CT7" i="6"/>
  <c r="CT8" i="6"/>
  <c r="CT9" i="6"/>
  <c r="CT10" i="6"/>
  <c r="CT11" i="6"/>
  <c r="CT12" i="6"/>
  <c r="CT13" i="6"/>
  <c r="CT14" i="6"/>
  <c r="CT15" i="6"/>
  <c r="CT16" i="6"/>
  <c r="CT17" i="6"/>
  <c r="CT18" i="6"/>
  <c r="CT19" i="6"/>
  <c r="CT20" i="6"/>
  <c r="CT21" i="6"/>
  <c r="CT22" i="6"/>
  <c r="CT23" i="6"/>
  <c r="CT24" i="6"/>
  <c r="CT25" i="6"/>
  <c r="CT26" i="6"/>
  <c r="CT27" i="6"/>
  <c r="CT28" i="6"/>
  <c r="CT29" i="6"/>
  <c r="CT30" i="6"/>
  <c r="CT31" i="6"/>
  <c r="CT32" i="6"/>
  <c r="CT4" i="6"/>
  <c r="DS5" i="6"/>
  <c r="DS6" i="6"/>
  <c r="DS7" i="6"/>
  <c r="DS8" i="6"/>
  <c r="DS9" i="6"/>
  <c r="DS10" i="6"/>
  <c r="DS11" i="6"/>
  <c r="DS12" i="6"/>
  <c r="DS13" i="6"/>
  <c r="DS14" i="6"/>
  <c r="DS15" i="6"/>
  <c r="DS16" i="6"/>
  <c r="DS17" i="6"/>
  <c r="DS18" i="6"/>
  <c r="DS19" i="6"/>
  <c r="DS20" i="6"/>
  <c r="DS21" i="6"/>
  <c r="DS22" i="6"/>
  <c r="DS23" i="6"/>
  <c r="DS24" i="6"/>
  <c r="DS25" i="6"/>
  <c r="DS26" i="6"/>
  <c r="DS27" i="6"/>
  <c r="DS28" i="6"/>
  <c r="DS29" i="6"/>
  <c r="DS30" i="6"/>
  <c r="DS31" i="6"/>
  <c r="DN5" i="6"/>
  <c r="DN6" i="6"/>
  <c r="DN7" i="6"/>
  <c r="DN8" i="6"/>
  <c r="DN9" i="6"/>
  <c r="DN10" i="6"/>
  <c r="DN11" i="6"/>
  <c r="DN12" i="6"/>
  <c r="DN13" i="6"/>
  <c r="DN14" i="6"/>
  <c r="DN15" i="6"/>
  <c r="DN16" i="6"/>
  <c r="DN17" i="6"/>
  <c r="DN18" i="6"/>
  <c r="DN19" i="6"/>
  <c r="DN20" i="6"/>
  <c r="DN21" i="6"/>
  <c r="DN22" i="6"/>
  <c r="DN23" i="6"/>
  <c r="DN24" i="6"/>
  <c r="DN25" i="6"/>
  <c r="DN26" i="6"/>
  <c r="DN27" i="6"/>
  <c r="DN28" i="6"/>
  <c r="DN29" i="6"/>
  <c r="DN30" i="6"/>
  <c r="DN31" i="6"/>
  <c r="DI5" i="6"/>
  <c r="DI6" i="6"/>
  <c r="DI7" i="6"/>
  <c r="DI8" i="6"/>
  <c r="DI9" i="6"/>
  <c r="DI10" i="6"/>
  <c r="DI11" i="6"/>
  <c r="DI12" i="6"/>
  <c r="DI13" i="6"/>
  <c r="DI14" i="6"/>
  <c r="DI15" i="6"/>
  <c r="DI16" i="6"/>
  <c r="DI17" i="6"/>
  <c r="DI18" i="6"/>
  <c r="DI19" i="6"/>
  <c r="DI20" i="6"/>
  <c r="DI21" i="6"/>
  <c r="DI22" i="6"/>
  <c r="DI23" i="6"/>
  <c r="DI24" i="6"/>
  <c r="DI25" i="6"/>
  <c r="DI26" i="6"/>
  <c r="DI27" i="6"/>
  <c r="DI28" i="6"/>
  <c r="DI29" i="6"/>
  <c r="DI30" i="6"/>
  <c r="DI31" i="6"/>
  <c r="DD5" i="6"/>
  <c r="DD6" i="6"/>
  <c r="DD7" i="6"/>
  <c r="DD8" i="6"/>
  <c r="DD9" i="6"/>
  <c r="DD10" i="6"/>
  <c r="DD11" i="6"/>
  <c r="DD12" i="6"/>
  <c r="DD13" i="6"/>
  <c r="DD14" i="6"/>
  <c r="DD15" i="6"/>
  <c r="DD16" i="6"/>
  <c r="DD17" i="6"/>
  <c r="DD18" i="6"/>
  <c r="DD19" i="6"/>
  <c r="DD20" i="6"/>
  <c r="DD21" i="6"/>
  <c r="DD22" i="6"/>
  <c r="DD23" i="6"/>
  <c r="DD24" i="6"/>
  <c r="DD25" i="6"/>
  <c r="DD26" i="6"/>
  <c r="DD27" i="6"/>
  <c r="DD28" i="6"/>
  <c r="DD29" i="6"/>
  <c r="DD30" i="6"/>
  <c r="DD31" i="6"/>
  <c r="CO4" i="6"/>
  <c r="CO5" i="6"/>
  <c r="CO6" i="6"/>
  <c r="CO7" i="6"/>
  <c r="CO8" i="6"/>
  <c r="CO9" i="6"/>
  <c r="CO10" i="6"/>
  <c r="CO11" i="6"/>
  <c r="CO12" i="6"/>
  <c r="CO13" i="6"/>
  <c r="CO14" i="6"/>
  <c r="CO15" i="6"/>
  <c r="CO16" i="6"/>
  <c r="CO17" i="6"/>
  <c r="CO18" i="6"/>
  <c r="CO19" i="6"/>
  <c r="CO20" i="6"/>
  <c r="CO21" i="6"/>
  <c r="CO22" i="6"/>
  <c r="CO23" i="6"/>
  <c r="CO24" i="6"/>
  <c r="CO25" i="6"/>
  <c r="CO26" i="6"/>
  <c r="CO27" i="6"/>
  <c r="CO28" i="6"/>
  <c r="CO29" i="6"/>
  <c r="CO30" i="6"/>
  <c r="CO31" i="6"/>
  <c r="CJ4" i="6"/>
  <c r="CJ5" i="6"/>
  <c r="CJ6" i="6"/>
  <c r="CJ7" i="6"/>
  <c r="CJ8" i="6"/>
  <c r="CJ9" i="6"/>
  <c r="CJ10" i="6"/>
  <c r="CJ11" i="6"/>
  <c r="CJ12" i="6"/>
  <c r="CJ13" i="6"/>
  <c r="CJ14" i="6"/>
  <c r="CJ15" i="6"/>
  <c r="CJ16" i="6"/>
  <c r="CJ17" i="6"/>
  <c r="CJ18" i="6"/>
  <c r="CJ19" i="6"/>
  <c r="CJ20" i="6"/>
  <c r="CJ21" i="6"/>
  <c r="CJ22" i="6"/>
  <c r="CJ23" i="6"/>
  <c r="CJ24" i="6"/>
  <c r="CJ25" i="6"/>
  <c r="CJ26" i="6"/>
  <c r="CJ27" i="6"/>
  <c r="CJ28" i="6"/>
  <c r="CJ29" i="6"/>
  <c r="CJ30" i="6"/>
  <c r="CJ31" i="6"/>
  <c r="CE4" i="6"/>
  <c r="CE5" i="6"/>
  <c r="CE6" i="6"/>
  <c r="CE7" i="6"/>
  <c r="CE8" i="6"/>
  <c r="CE9" i="6"/>
  <c r="CE10" i="6"/>
  <c r="CE11" i="6"/>
  <c r="CE12" i="6"/>
  <c r="CE13" i="6"/>
  <c r="CE14" i="6"/>
  <c r="CE15" i="6"/>
  <c r="CE16" i="6"/>
  <c r="CE17" i="6"/>
  <c r="CE18" i="6"/>
  <c r="CE19" i="6"/>
  <c r="CE20" i="6"/>
  <c r="CE21" i="6"/>
  <c r="CE22" i="6"/>
  <c r="CE23" i="6"/>
  <c r="CE24" i="6"/>
  <c r="CE25" i="6"/>
  <c r="CE26" i="6"/>
  <c r="CE27" i="6"/>
  <c r="CE28" i="6"/>
  <c r="CE29" i="6"/>
  <c r="CE30" i="6"/>
  <c r="CE31" i="6"/>
  <c r="BZ4" i="6"/>
  <c r="BZ5" i="6"/>
  <c r="BZ6" i="6"/>
  <c r="BZ7" i="6"/>
  <c r="BZ8" i="6"/>
  <c r="BZ9" i="6"/>
  <c r="BZ10" i="6"/>
  <c r="BZ11" i="6"/>
  <c r="BZ12" i="6"/>
  <c r="BZ13" i="6"/>
  <c r="BZ14" i="6"/>
  <c r="BZ15" i="6"/>
  <c r="BZ16" i="6"/>
  <c r="BZ17" i="6"/>
  <c r="BZ18" i="6"/>
  <c r="BZ19" i="6"/>
  <c r="BZ20" i="6"/>
  <c r="BZ21" i="6"/>
  <c r="BZ22" i="6"/>
  <c r="BZ23" i="6"/>
  <c r="BZ24" i="6"/>
  <c r="BZ25" i="6"/>
  <c r="BZ26" i="6"/>
  <c r="BZ27" i="6"/>
  <c r="BZ28" i="6"/>
  <c r="BZ29" i="6"/>
  <c r="BZ30" i="6"/>
  <c r="BZ31" i="6"/>
  <c r="S3" i="1"/>
  <c r="T3" i="1"/>
  <c r="U3" i="1"/>
  <c r="V3" i="1"/>
  <c r="W3" i="1"/>
  <c r="X3" i="1"/>
  <c r="Y3" i="1"/>
  <c r="Z3" i="1"/>
  <c r="AA3" i="1"/>
  <c r="U30" i="11"/>
  <c r="AB37" i="8"/>
  <c r="AC28" i="1"/>
  <c r="AD28" i="1"/>
  <c r="AE28" i="1"/>
  <c r="AF28" i="1"/>
  <c r="AG28" i="1"/>
  <c r="AH28" i="1"/>
  <c r="AI28" i="1"/>
  <c r="AJ28" i="1"/>
  <c r="AK28" i="1"/>
  <c r="AL28" i="1"/>
  <c r="AM28" i="1"/>
  <c r="AN28" i="1"/>
  <c r="AC29" i="1"/>
  <c r="AD29" i="1"/>
  <c r="AL29" i="1"/>
  <c r="AM29" i="1"/>
  <c r="AN29" i="1"/>
  <c r="AC30" i="1"/>
  <c r="AD30" i="1"/>
  <c r="AL30" i="1"/>
  <c r="AM30" i="1"/>
  <c r="AN30" i="1"/>
  <c r="AC31" i="1"/>
  <c r="AD31" i="1"/>
  <c r="AL31" i="1"/>
  <c r="AM31" i="1"/>
  <c r="AN31" i="1"/>
  <c r="GC34" i="6"/>
  <c r="BN13" i="14"/>
  <c r="BN4" i="14"/>
  <c r="BO4" i="14"/>
  <c r="BN5" i="14"/>
  <c r="BO5" i="14"/>
  <c r="BN6" i="14"/>
  <c r="BO6" i="14"/>
  <c r="BN7" i="14"/>
  <c r="BO7" i="14"/>
  <c r="BN8" i="14"/>
  <c r="BN9" i="14"/>
  <c r="BO9" i="14"/>
  <c r="BN10" i="14"/>
  <c r="BO10" i="14"/>
  <c r="BN11" i="14"/>
  <c r="BO11" i="14"/>
  <c r="BO13" i="14"/>
  <c r="BN14" i="14"/>
  <c r="BO14" i="14"/>
  <c r="BN16" i="14"/>
  <c r="BO16" i="14"/>
  <c r="BN17" i="14"/>
  <c r="BO17" i="14"/>
  <c r="BN20" i="14"/>
  <c r="BO20" i="14"/>
  <c r="BN21" i="14"/>
  <c r="BO21" i="14"/>
  <c r="BN22" i="14"/>
  <c r="BO22" i="14"/>
  <c r="BN23" i="14"/>
  <c r="BO23" i="14"/>
  <c r="P32" i="1"/>
  <c r="P35" i="1" s="1"/>
  <c r="AL79" i="4"/>
  <c r="AL71" i="4"/>
  <c r="AM63" i="4"/>
  <c r="AF47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O39" i="11" s="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O31" i="11" s="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O23" i="11" s="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O15" i="11" s="1"/>
  <c r="AO86" i="4"/>
  <c r="AN86" i="4"/>
  <c r="AM86" i="4"/>
  <c r="AL86" i="4"/>
  <c r="AK86" i="4"/>
  <c r="AJ86" i="4"/>
  <c r="AI86" i="4"/>
  <c r="AH86" i="4"/>
  <c r="AG86" i="4"/>
  <c r="AF86" i="4"/>
  <c r="AE86" i="4"/>
  <c r="AD86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GB26" i="6"/>
  <c r="FW26" i="6"/>
  <c r="FR26" i="6"/>
  <c r="FM26" i="6"/>
  <c r="FH26" i="6"/>
  <c r="FC26" i="6"/>
  <c r="EX26" i="6"/>
  <c r="ES26" i="6"/>
  <c r="EN26" i="6"/>
  <c r="EI26" i="6"/>
  <c r="ED26" i="6"/>
  <c r="GC26" i="6" s="1"/>
  <c r="DY26" i="6"/>
  <c r="BP26" i="6"/>
  <c r="BJ26" i="6"/>
  <c r="BE26" i="6"/>
  <c r="AZ26" i="6"/>
  <c r="AO38" i="4"/>
  <c r="AN38" i="4"/>
  <c r="AM38" i="4"/>
  <c r="AL38" i="4"/>
  <c r="AK38" i="4"/>
  <c r="AJ38" i="4"/>
  <c r="AI38" i="4"/>
  <c r="AH38" i="4"/>
  <c r="AG38" i="4"/>
  <c r="AF38" i="4"/>
  <c r="AE38" i="4"/>
  <c r="AD38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7" i="11"/>
  <c r="AO7" i="11" s="1"/>
  <c r="AN7" i="11"/>
  <c r="AM7" i="11"/>
  <c r="AL7" i="11"/>
  <c r="AK7" i="11"/>
  <c r="AJ7" i="11"/>
  <c r="AI7" i="11"/>
  <c r="AH7" i="11"/>
  <c r="AG7" i="11"/>
  <c r="AF7" i="11"/>
  <c r="AE7" i="11"/>
  <c r="AD7" i="11"/>
  <c r="AN38" i="12"/>
  <c r="AM38" i="12"/>
  <c r="AL38" i="12"/>
  <c r="AK38" i="12"/>
  <c r="AJ38" i="12"/>
  <c r="AI38" i="12"/>
  <c r="AH38" i="12"/>
  <c r="AG38" i="12"/>
  <c r="AF38" i="12"/>
  <c r="AE38" i="12"/>
  <c r="AD38" i="12"/>
  <c r="AC38" i="12"/>
  <c r="AO38" i="12" s="1"/>
  <c r="AN30" i="12"/>
  <c r="AM30" i="12"/>
  <c r="AL30" i="12"/>
  <c r="AK30" i="12"/>
  <c r="AJ30" i="12"/>
  <c r="AI30" i="12"/>
  <c r="AH30" i="12"/>
  <c r="AG30" i="12"/>
  <c r="AF30" i="12"/>
  <c r="AE30" i="12"/>
  <c r="AD30" i="12"/>
  <c r="AO30" i="12" s="1"/>
  <c r="AC30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O22" i="12" s="1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O14" i="12" s="1"/>
  <c r="AD6" i="12"/>
  <c r="AF6" i="12"/>
  <c r="AG6" i="12"/>
  <c r="AH6" i="12"/>
  <c r="AI6" i="12"/>
  <c r="AJ6" i="12"/>
  <c r="AK6" i="12"/>
  <c r="AL6" i="12"/>
  <c r="AM6" i="12"/>
  <c r="AN6" i="12"/>
  <c r="AC6" i="12"/>
  <c r="AO6" i="12" s="1"/>
  <c r="AE6" i="12"/>
  <c r="AP23" i="4"/>
  <c r="AP22" i="4"/>
  <c r="AP7" i="4"/>
  <c r="AP6" i="4"/>
  <c r="K41" i="8"/>
  <c r="K39" i="8"/>
  <c r="P24" i="1"/>
  <c r="Q24" i="1"/>
  <c r="R24" i="1"/>
  <c r="S24" i="1"/>
  <c r="T24" i="1"/>
  <c r="U24" i="1"/>
  <c r="V24" i="1"/>
  <c r="W24" i="1"/>
  <c r="X24" i="1"/>
  <c r="Y24" i="1"/>
  <c r="Z24" i="1"/>
  <c r="AA24" i="1"/>
  <c r="P25" i="1"/>
  <c r="Q25" i="1"/>
  <c r="R25" i="1"/>
  <c r="S25" i="1"/>
  <c r="T25" i="1"/>
  <c r="U25" i="1"/>
  <c r="V25" i="1"/>
  <c r="W25" i="1"/>
  <c r="X25" i="1"/>
  <c r="Y25" i="1"/>
  <c r="Z25" i="1"/>
  <c r="AA25" i="1"/>
  <c r="P26" i="1"/>
  <c r="Q26" i="1"/>
  <c r="R26" i="1"/>
  <c r="S26" i="1"/>
  <c r="T26" i="1"/>
  <c r="U26" i="1"/>
  <c r="V26" i="1"/>
  <c r="W26" i="1"/>
  <c r="X26" i="1"/>
  <c r="Y26" i="1"/>
  <c r="Z26" i="1"/>
  <c r="AA26" i="1"/>
  <c r="P27" i="1"/>
  <c r="Q27" i="1"/>
  <c r="R27" i="1"/>
  <c r="S27" i="1"/>
  <c r="T27" i="1"/>
  <c r="U27" i="1"/>
  <c r="V27" i="1"/>
  <c r="W27" i="1"/>
  <c r="X27" i="1"/>
  <c r="Y27" i="1"/>
  <c r="Z27" i="1"/>
  <c r="AA27" i="1"/>
  <c r="P28" i="1"/>
  <c r="Q28" i="1"/>
  <c r="R28" i="1"/>
  <c r="S28" i="1"/>
  <c r="T28" i="1"/>
  <c r="U28" i="1"/>
  <c r="V28" i="1"/>
  <c r="W28" i="1"/>
  <c r="X28" i="1"/>
  <c r="Y28" i="1"/>
  <c r="Z28" i="1"/>
  <c r="AA28" i="1"/>
  <c r="P29" i="1"/>
  <c r="Q29" i="1"/>
  <c r="R29" i="1"/>
  <c r="S29" i="1"/>
  <c r="T29" i="1"/>
  <c r="U29" i="1"/>
  <c r="V29" i="1"/>
  <c r="W29" i="1"/>
  <c r="X29" i="1"/>
  <c r="Y29" i="1"/>
  <c r="Z29" i="1"/>
  <c r="AA29" i="1"/>
  <c r="P30" i="1"/>
  <c r="Q30" i="1"/>
  <c r="R30" i="1"/>
  <c r="S30" i="1"/>
  <c r="T30" i="1"/>
  <c r="U30" i="1"/>
  <c r="V30" i="1"/>
  <c r="W30" i="1"/>
  <c r="X30" i="1"/>
  <c r="Y30" i="1"/>
  <c r="Z30" i="1"/>
  <c r="AA30" i="1"/>
  <c r="P31" i="1"/>
  <c r="Q31" i="1"/>
  <c r="R31" i="1"/>
  <c r="S31" i="1"/>
  <c r="T31" i="1"/>
  <c r="U31" i="1"/>
  <c r="V31" i="1"/>
  <c r="W31" i="1"/>
  <c r="X31" i="1"/>
  <c r="Y31" i="1"/>
  <c r="Z31" i="1"/>
  <c r="AA31" i="1"/>
  <c r="P34" i="1"/>
  <c r="A25" i="2"/>
  <c r="A26" i="2"/>
  <c r="A27" i="2"/>
  <c r="A28" i="2"/>
  <c r="A29" i="2"/>
  <c r="A30" i="2"/>
  <c r="A31" i="2"/>
  <c r="A24" i="2"/>
  <c r="Q11" i="4"/>
  <c r="V30" i="11"/>
  <c r="N13" i="4"/>
  <c r="O13" i="4"/>
  <c r="N21" i="4"/>
  <c r="N22" i="4"/>
  <c r="BJ16" i="6"/>
  <c r="BJ17" i="6"/>
  <c r="BJ18" i="6"/>
  <c r="BJ19" i="6"/>
  <c r="BJ20" i="6"/>
  <c r="BJ21" i="6"/>
  <c r="BJ22" i="6"/>
  <c r="BJ23" i="6"/>
  <c r="BJ24" i="6"/>
  <c r="BQ16" i="14"/>
  <c r="BQ17" i="14"/>
  <c r="GA32" i="14"/>
  <c r="FZ32" i="14"/>
  <c r="FY32" i="14"/>
  <c r="FX32" i="14"/>
  <c r="GA31" i="14"/>
  <c r="FZ31" i="14"/>
  <c r="FY31" i="14"/>
  <c r="FX31" i="14"/>
  <c r="GA30" i="14"/>
  <c r="FZ30" i="14"/>
  <c r="FY30" i="14"/>
  <c r="FX30" i="14"/>
  <c r="GA29" i="14"/>
  <c r="FZ29" i="14"/>
  <c r="FY29" i="14"/>
  <c r="FX29" i="14"/>
  <c r="GA28" i="14"/>
  <c r="FZ28" i="14"/>
  <c r="FY28" i="14"/>
  <c r="FX28" i="14"/>
  <c r="GA27" i="14"/>
  <c r="FZ27" i="14"/>
  <c r="FY27" i="14"/>
  <c r="FX27" i="14"/>
  <c r="GA26" i="14"/>
  <c r="FZ26" i="14"/>
  <c r="FY26" i="14"/>
  <c r="FX26" i="14"/>
  <c r="GA25" i="14"/>
  <c r="FZ25" i="14"/>
  <c r="FY25" i="14"/>
  <c r="FX25" i="14"/>
  <c r="GA24" i="14"/>
  <c r="FZ24" i="14"/>
  <c r="FY24" i="14"/>
  <c r="FX24" i="14"/>
  <c r="GA23" i="14"/>
  <c r="FZ23" i="14"/>
  <c r="FY23" i="14"/>
  <c r="FX23" i="14"/>
  <c r="GA22" i="14"/>
  <c r="FZ22" i="14"/>
  <c r="FY22" i="14"/>
  <c r="FX22" i="14"/>
  <c r="GA21" i="14"/>
  <c r="FZ21" i="14"/>
  <c r="FY21" i="14"/>
  <c r="FX21" i="14"/>
  <c r="GA20" i="14"/>
  <c r="FZ20" i="14"/>
  <c r="FY20" i="14"/>
  <c r="FX20" i="14"/>
  <c r="GA19" i="14"/>
  <c r="FZ19" i="14"/>
  <c r="FY19" i="14"/>
  <c r="FX19" i="14"/>
  <c r="GA18" i="14"/>
  <c r="FZ18" i="14"/>
  <c r="FY18" i="14"/>
  <c r="FX18" i="14"/>
  <c r="GA17" i="14"/>
  <c r="FZ17" i="14"/>
  <c r="FY17" i="14"/>
  <c r="FX17" i="14"/>
  <c r="GA16" i="14"/>
  <c r="FZ16" i="14"/>
  <c r="FY16" i="14"/>
  <c r="FX16" i="14"/>
  <c r="GA15" i="14"/>
  <c r="FZ15" i="14"/>
  <c r="FY15" i="14"/>
  <c r="FX15" i="14"/>
  <c r="GA14" i="14"/>
  <c r="FZ14" i="14"/>
  <c r="FY14" i="14"/>
  <c r="FX14" i="14"/>
  <c r="GA13" i="14"/>
  <c r="FZ13" i="14"/>
  <c r="FY13" i="14"/>
  <c r="FX13" i="14"/>
  <c r="GA12" i="14"/>
  <c r="FZ12" i="14"/>
  <c r="FY12" i="14"/>
  <c r="FX12" i="14"/>
  <c r="GA11" i="14"/>
  <c r="FZ11" i="14"/>
  <c r="FY11" i="14"/>
  <c r="FX11" i="14"/>
  <c r="GA10" i="14"/>
  <c r="FZ10" i="14"/>
  <c r="FY10" i="14"/>
  <c r="FX10" i="14"/>
  <c r="GA9" i="14"/>
  <c r="FZ9" i="14"/>
  <c r="FY9" i="14"/>
  <c r="FX9" i="14"/>
  <c r="GA8" i="14"/>
  <c r="FZ8" i="14"/>
  <c r="FY8" i="14"/>
  <c r="FX8" i="14"/>
  <c r="GA7" i="14"/>
  <c r="FZ7" i="14"/>
  <c r="FY7" i="14"/>
  <c r="FX7" i="14"/>
  <c r="GA6" i="14"/>
  <c r="GA33" i="14" s="1"/>
  <c r="FZ6" i="14"/>
  <c r="FY6" i="14"/>
  <c r="FX6" i="14"/>
  <c r="GA5" i="14"/>
  <c r="FZ5" i="14"/>
  <c r="FY5" i="14"/>
  <c r="FX5" i="14"/>
  <c r="GA4" i="14"/>
  <c r="FZ4" i="14"/>
  <c r="FY4" i="14"/>
  <c r="FX4" i="14"/>
  <c r="FV32" i="14"/>
  <c r="FU32" i="14"/>
  <c r="FW32" i="14" s="1"/>
  <c r="FT32" i="14"/>
  <c r="FS32" i="14"/>
  <c r="FV31" i="14"/>
  <c r="FU31" i="14"/>
  <c r="FT31" i="14"/>
  <c r="FS31" i="14"/>
  <c r="FV30" i="14"/>
  <c r="FU30" i="14"/>
  <c r="FT30" i="14"/>
  <c r="FS30" i="14"/>
  <c r="FV29" i="14"/>
  <c r="FU29" i="14"/>
  <c r="FW29" i="14" s="1"/>
  <c r="FT29" i="14"/>
  <c r="FS29" i="14"/>
  <c r="FV28" i="14"/>
  <c r="FU28" i="14"/>
  <c r="FT28" i="14"/>
  <c r="FS28" i="14"/>
  <c r="FV27" i="14"/>
  <c r="FU27" i="14"/>
  <c r="FT27" i="14"/>
  <c r="FS27" i="14"/>
  <c r="FV26" i="14"/>
  <c r="FU26" i="14"/>
  <c r="FW26" i="14" s="1"/>
  <c r="FT26" i="14"/>
  <c r="FS26" i="14"/>
  <c r="FV25" i="14"/>
  <c r="FU25" i="14"/>
  <c r="FT25" i="14"/>
  <c r="FS25" i="14"/>
  <c r="FV24" i="14"/>
  <c r="FU24" i="14"/>
  <c r="FT24" i="14"/>
  <c r="FS24" i="14"/>
  <c r="FV23" i="14"/>
  <c r="FU23" i="14"/>
  <c r="FW23" i="14" s="1"/>
  <c r="AN79" i="4" s="1"/>
  <c r="FT23" i="14"/>
  <c r="FS23" i="14"/>
  <c r="FV22" i="14"/>
  <c r="FU22" i="14"/>
  <c r="FT22" i="14"/>
  <c r="FS22" i="14"/>
  <c r="FV21" i="14"/>
  <c r="FU21" i="14"/>
  <c r="FT21" i="14"/>
  <c r="FS21" i="14"/>
  <c r="FV20" i="14"/>
  <c r="FU20" i="14"/>
  <c r="FW20" i="14" s="1"/>
  <c r="AN55" i="4" s="1"/>
  <c r="FT20" i="14"/>
  <c r="FS20" i="14"/>
  <c r="FV19" i="14"/>
  <c r="FU19" i="14"/>
  <c r="FT19" i="14"/>
  <c r="FS19" i="14"/>
  <c r="FV18" i="14"/>
  <c r="FU18" i="14"/>
  <c r="FT18" i="14"/>
  <c r="FS18" i="14"/>
  <c r="FV17" i="14"/>
  <c r="FU17" i="14"/>
  <c r="FW17" i="14" s="1"/>
  <c r="AN31" i="4" s="1"/>
  <c r="FT17" i="14"/>
  <c r="FS17" i="14"/>
  <c r="FV16" i="14"/>
  <c r="FU16" i="14"/>
  <c r="FT16" i="14"/>
  <c r="FS16" i="14"/>
  <c r="FV15" i="14"/>
  <c r="FU15" i="14"/>
  <c r="FT15" i="14"/>
  <c r="FS15" i="14"/>
  <c r="FV14" i="14"/>
  <c r="FU14" i="14"/>
  <c r="FW14" i="14" s="1"/>
  <c r="FT14" i="14"/>
  <c r="FS14" i="14"/>
  <c r="FV13" i="14"/>
  <c r="FU13" i="14"/>
  <c r="FT13" i="14"/>
  <c r="FS13" i="14"/>
  <c r="FV12" i="14"/>
  <c r="FU12" i="14"/>
  <c r="FT12" i="14"/>
  <c r="FS12" i="14"/>
  <c r="FV11" i="14"/>
  <c r="FU11" i="14"/>
  <c r="FW11" i="14" s="1"/>
  <c r="AM24" i="11" s="1"/>
  <c r="FT11" i="14"/>
  <c r="FS11" i="14"/>
  <c r="FV10" i="14"/>
  <c r="FU10" i="14"/>
  <c r="FT10" i="14"/>
  <c r="FS10" i="14"/>
  <c r="FV9" i="14"/>
  <c r="FU9" i="14"/>
  <c r="FT9" i="14"/>
  <c r="FS9" i="14"/>
  <c r="FV8" i="14"/>
  <c r="FU8" i="14"/>
  <c r="FW8" i="14" s="1"/>
  <c r="AM39" i="12" s="1"/>
  <c r="FT8" i="14"/>
  <c r="FS8" i="14"/>
  <c r="FV7" i="14"/>
  <c r="FU7" i="14"/>
  <c r="FT7" i="14"/>
  <c r="FS7" i="14"/>
  <c r="FV6" i="14"/>
  <c r="FU6" i="14"/>
  <c r="FT6" i="14"/>
  <c r="FS6" i="14"/>
  <c r="FV5" i="14"/>
  <c r="FV33" i="14" s="1"/>
  <c r="FU5" i="14"/>
  <c r="FW5" i="14" s="1"/>
  <c r="AM15" i="12" s="1"/>
  <c r="FT5" i="14"/>
  <c r="FS5" i="14"/>
  <c r="FV4" i="14"/>
  <c r="FU4" i="14"/>
  <c r="FT4" i="14"/>
  <c r="FS4" i="14"/>
  <c r="FQ32" i="14"/>
  <c r="FP32" i="14"/>
  <c r="FO32" i="14"/>
  <c r="FN32" i="14"/>
  <c r="FQ31" i="14"/>
  <c r="FP31" i="14"/>
  <c r="FR31" i="14" s="1"/>
  <c r="FO31" i="14"/>
  <c r="FN31" i="14"/>
  <c r="FQ30" i="14"/>
  <c r="FP30" i="14"/>
  <c r="FO30" i="14"/>
  <c r="FN30" i="14"/>
  <c r="FQ29" i="14"/>
  <c r="FP29" i="14"/>
  <c r="FO29" i="14"/>
  <c r="FN29" i="14"/>
  <c r="FQ28" i="14"/>
  <c r="FP28" i="14"/>
  <c r="FR28" i="14" s="1"/>
  <c r="FO28" i="14"/>
  <c r="FN28" i="14"/>
  <c r="FQ27" i="14"/>
  <c r="FP27" i="14"/>
  <c r="FO27" i="14"/>
  <c r="FN27" i="14"/>
  <c r="FQ26" i="14"/>
  <c r="FP26" i="14"/>
  <c r="FO26" i="14"/>
  <c r="FN26" i="14"/>
  <c r="FQ25" i="14"/>
  <c r="FP25" i="14"/>
  <c r="FR25" i="14" s="1"/>
  <c r="FO25" i="14"/>
  <c r="FN25" i="14"/>
  <c r="FQ24" i="14"/>
  <c r="FP24" i="14"/>
  <c r="FO24" i="14"/>
  <c r="FN24" i="14"/>
  <c r="FQ23" i="14"/>
  <c r="FP23" i="14"/>
  <c r="FO23" i="14"/>
  <c r="FN23" i="14"/>
  <c r="FQ22" i="14"/>
  <c r="FP22" i="14"/>
  <c r="FR22" i="14" s="1"/>
  <c r="AM71" i="4" s="1"/>
  <c r="FO22" i="14"/>
  <c r="FN22" i="14"/>
  <c r="FQ21" i="14"/>
  <c r="FP21" i="14"/>
  <c r="FO21" i="14"/>
  <c r="FN21" i="14"/>
  <c r="FQ20" i="14"/>
  <c r="FP20" i="14"/>
  <c r="FO20" i="14"/>
  <c r="FN20" i="14"/>
  <c r="FQ19" i="14"/>
  <c r="FP19" i="14"/>
  <c r="FR19" i="14" s="1"/>
  <c r="AM47" i="4" s="1"/>
  <c r="FO19" i="14"/>
  <c r="FN19" i="14"/>
  <c r="FQ18" i="14"/>
  <c r="FP18" i="14"/>
  <c r="FO18" i="14"/>
  <c r="FN18" i="14"/>
  <c r="FQ17" i="14"/>
  <c r="FP17" i="14"/>
  <c r="FO17" i="14"/>
  <c r="FN17" i="14"/>
  <c r="FQ16" i="14"/>
  <c r="FP16" i="14"/>
  <c r="FR16" i="14" s="1"/>
  <c r="FO16" i="14"/>
  <c r="FN16" i="14"/>
  <c r="FQ15" i="14"/>
  <c r="FP15" i="14"/>
  <c r="FO15" i="14"/>
  <c r="FN15" i="14"/>
  <c r="FQ14" i="14"/>
  <c r="FP14" i="14"/>
  <c r="FO14" i="14"/>
  <c r="FN14" i="14"/>
  <c r="FQ13" i="14"/>
  <c r="FP13" i="14"/>
  <c r="FR13" i="14" s="1"/>
  <c r="AL40" i="11" s="1"/>
  <c r="FO13" i="14"/>
  <c r="FN13" i="14"/>
  <c r="FQ12" i="14"/>
  <c r="FP12" i="14"/>
  <c r="FO12" i="14"/>
  <c r="FN12" i="14"/>
  <c r="FQ11" i="14"/>
  <c r="FP11" i="14"/>
  <c r="FO11" i="14"/>
  <c r="FN11" i="14"/>
  <c r="FQ10" i="14"/>
  <c r="FP10" i="14"/>
  <c r="FR10" i="14" s="1"/>
  <c r="FO10" i="14"/>
  <c r="FN10" i="14"/>
  <c r="FQ9" i="14"/>
  <c r="FP9" i="14"/>
  <c r="FO9" i="14"/>
  <c r="FN9" i="14"/>
  <c r="FQ8" i="14"/>
  <c r="FP8" i="14"/>
  <c r="FO8" i="14"/>
  <c r="FN8" i="14"/>
  <c r="FQ7" i="14"/>
  <c r="FP7" i="14"/>
  <c r="FR7" i="14" s="1"/>
  <c r="AL31" i="12" s="1"/>
  <c r="FO7" i="14"/>
  <c r="FN7" i="14"/>
  <c r="FQ6" i="14"/>
  <c r="FP6" i="14"/>
  <c r="FO6" i="14"/>
  <c r="FN6" i="14"/>
  <c r="FQ5" i="14"/>
  <c r="FP5" i="14"/>
  <c r="FO5" i="14"/>
  <c r="FN5" i="14"/>
  <c r="FQ4" i="14"/>
  <c r="FP4" i="14"/>
  <c r="FP33" i="14" s="1"/>
  <c r="FO4" i="14"/>
  <c r="FN4" i="14"/>
  <c r="FL32" i="14"/>
  <c r="FK32" i="14"/>
  <c r="FJ32" i="14"/>
  <c r="FI32" i="14"/>
  <c r="FL31" i="14"/>
  <c r="FK31" i="14"/>
  <c r="FJ31" i="14"/>
  <c r="FI31" i="14"/>
  <c r="FL30" i="14"/>
  <c r="FK30" i="14"/>
  <c r="FM30" i="14" s="1"/>
  <c r="FJ30" i="14"/>
  <c r="FI30" i="14"/>
  <c r="FL29" i="14"/>
  <c r="FK29" i="14"/>
  <c r="FJ29" i="14"/>
  <c r="FI29" i="14"/>
  <c r="FL28" i="14"/>
  <c r="FK28" i="14"/>
  <c r="FJ28" i="14"/>
  <c r="FI28" i="14"/>
  <c r="FL27" i="14"/>
  <c r="FK27" i="14"/>
  <c r="FM27" i="14" s="1"/>
  <c r="FJ27" i="14"/>
  <c r="FI27" i="14"/>
  <c r="FL26" i="14"/>
  <c r="FK26" i="14"/>
  <c r="FJ26" i="14"/>
  <c r="FI26" i="14"/>
  <c r="FL25" i="14"/>
  <c r="FK25" i="14"/>
  <c r="FJ25" i="14"/>
  <c r="FI25" i="14"/>
  <c r="FL24" i="14"/>
  <c r="FK24" i="14"/>
  <c r="FM24" i="14" s="1"/>
  <c r="AL87" i="4" s="1"/>
  <c r="FJ24" i="14"/>
  <c r="FI24" i="14"/>
  <c r="FL23" i="14"/>
  <c r="FK23" i="14"/>
  <c r="FJ23" i="14"/>
  <c r="FI23" i="14"/>
  <c r="FL22" i="14"/>
  <c r="FK22" i="14"/>
  <c r="FJ22" i="14"/>
  <c r="FI22" i="14"/>
  <c r="FL21" i="14"/>
  <c r="FK21" i="14"/>
  <c r="FM21" i="14" s="1"/>
  <c r="AL63" i="4" s="1"/>
  <c r="FJ21" i="14"/>
  <c r="FI21" i="14"/>
  <c r="FL20" i="14"/>
  <c r="FK20" i="14"/>
  <c r="FJ20" i="14"/>
  <c r="FI20" i="14"/>
  <c r="FL19" i="14"/>
  <c r="FK19" i="14"/>
  <c r="FJ19" i="14"/>
  <c r="FI19" i="14"/>
  <c r="FL18" i="14"/>
  <c r="FK18" i="14"/>
  <c r="FM18" i="14" s="1"/>
  <c r="AL39" i="4" s="1"/>
  <c r="FJ18" i="14"/>
  <c r="FI18" i="14"/>
  <c r="FL17" i="14"/>
  <c r="FK17" i="14"/>
  <c r="FJ17" i="14"/>
  <c r="FI17" i="14"/>
  <c r="FL16" i="14"/>
  <c r="FK16" i="14"/>
  <c r="FJ16" i="14"/>
  <c r="FI16" i="14"/>
  <c r="FL15" i="14"/>
  <c r="FK15" i="14"/>
  <c r="FM15" i="14" s="1"/>
  <c r="AL15" i="4" s="1"/>
  <c r="FJ15" i="14"/>
  <c r="FI15" i="14"/>
  <c r="FL14" i="14"/>
  <c r="FK14" i="14"/>
  <c r="FJ14" i="14"/>
  <c r="FI14" i="14"/>
  <c r="FL13" i="14"/>
  <c r="FK13" i="14"/>
  <c r="FJ13" i="14"/>
  <c r="FI13" i="14"/>
  <c r="FL12" i="14"/>
  <c r="FK12" i="14"/>
  <c r="FM12" i="14" s="1"/>
  <c r="AK32" i="11" s="1"/>
  <c r="FJ12" i="14"/>
  <c r="FI12" i="14"/>
  <c r="FL11" i="14"/>
  <c r="FK11" i="14"/>
  <c r="FJ11" i="14"/>
  <c r="FI11" i="14"/>
  <c r="FL10" i="14"/>
  <c r="FK10" i="14"/>
  <c r="FJ10" i="14"/>
  <c r="FI10" i="14"/>
  <c r="FL9" i="14"/>
  <c r="FK9" i="14"/>
  <c r="FM9" i="14" s="1"/>
  <c r="AK8" i="11" s="1"/>
  <c r="FJ9" i="14"/>
  <c r="FI9" i="14"/>
  <c r="FL8" i="14"/>
  <c r="FK8" i="14"/>
  <c r="FJ8" i="14"/>
  <c r="FI8" i="14"/>
  <c r="FL7" i="14"/>
  <c r="FK7" i="14"/>
  <c r="FJ7" i="14"/>
  <c r="FI7" i="14"/>
  <c r="FL6" i="14"/>
  <c r="FK6" i="14"/>
  <c r="FK33" i="14" s="1"/>
  <c r="FJ6" i="14"/>
  <c r="FI6" i="14"/>
  <c r="FL5" i="14"/>
  <c r="FK5" i="14"/>
  <c r="FJ5" i="14"/>
  <c r="FI5" i="14"/>
  <c r="FL4" i="14"/>
  <c r="FK4" i="14"/>
  <c r="FJ4" i="14"/>
  <c r="FI4" i="14"/>
  <c r="FG32" i="14"/>
  <c r="FF32" i="14"/>
  <c r="FH32" i="14" s="1"/>
  <c r="FE32" i="14"/>
  <c r="FD32" i="14"/>
  <c r="FG31" i="14"/>
  <c r="FF31" i="14"/>
  <c r="FE31" i="14"/>
  <c r="FD31" i="14"/>
  <c r="FG30" i="14"/>
  <c r="FF30" i="14"/>
  <c r="FE30" i="14"/>
  <c r="FD30" i="14"/>
  <c r="FG29" i="14"/>
  <c r="FF29" i="14"/>
  <c r="FH29" i="14" s="1"/>
  <c r="FE29" i="14"/>
  <c r="FD29" i="14"/>
  <c r="FG28" i="14"/>
  <c r="FF28" i="14"/>
  <c r="FE28" i="14"/>
  <c r="FD28" i="14"/>
  <c r="FG27" i="14"/>
  <c r="FF27" i="14"/>
  <c r="FE27" i="14"/>
  <c r="FD27" i="14"/>
  <c r="FG26" i="14"/>
  <c r="FF26" i="14"/>
  <c r="FH26" i="14" s="1"/>
  <c r="FE26" i="14"/>
  <c r="FD26" i="14"/>
  <c r="FG25" i="14"/>
  <c r="FF25" i="14"/>
  <c r="FE25" i="14"/>
  <c r="FD25" i="14"/>
  <c r="FG24" i="14"/>
  <c r="FF24" i="14"/>
  <c r="FE24" i="14"/>
  <c r="FD24" i="14"/>
  <c r="FG23" i="14"/>
  <c r="FF23" i="14"/>
  <c r="FH23" i="14" s="1"/>
  <c r="AK79" i="4" s="1"/>
  <c r="FE23" i="14"/>
  <c r="FD23" i="14"/>
  <c r="FG22" i="14"/>
  <c r="FF22" i="14"/>
  <c r="FE22" i="14"/>
  <c r="FD22" i="14"/>
  <c r="FG21" i="14"/>
  <c r="FF21" i="14"/>
  <c r="FE21" i="14"/>
  <c r="FD21" i="14"/>
  <c r="FG20" i="14"/>
  <c r="FF20" i="14"/>
  <c r="FH20" i="14" s="1"/>
  <c r="AK55" i="4" s="1"/>
  <c r="FE20" i="14"/>
  <c r="FD20" i="14"/>
  <c r="FG19" i="14"/>
  <c r="FF19" i="14"/>
  <c r="FE19" i="14"/>
  <c r="FD19" i="14"/>
  <c r="FG18" i="14"/>
  <c r="FF18" i="14"/>
  <c r="FE18" i="14"/>
  <c r="FD18" i="14"/>
  <c r="FG17" i="14"/>
  <c r="FF17" i="14"/>
  <c r="FH17" i="14" s="1"/>
  <c r="AK31" i="4" s="1"/>
  <c r="FE17" i="14"/>
  <c r="FD17" i="14"/>
  <c r="FG16" i="14"/>
  <c r="FF16" i="14"/>
  <c r="FE16" i="14"/>
  <c r="FD16" i="14"/>
  <c r="FG15" i="14"/>
  <c r="FF15" i="14"/>
  <c r="FE15" i="14"/>
  <c r="FD15" i="14"/>
  <c r="FG14" i="14"/>
  <c r="FF14" i="14"/>
  <c r="FH14" i="14" s="1"/>
  <c r="FE14" i="14"/>
  <c r="FD14" i="14"/>
  <c r="FG13" i="14"/>
  <c r="FF13" i="14"/>
  <c r="FE13" i="14"/>
  <c r="FD13" i="14"/>
  <c r="FG12" i="14"/>
  <c r="FF12" i="14"/>
  <c r="FE12" i="14"/>
  <c r="FD12" i="14"/>
  <c r="FG11" i="14"/>
  <c r="FF11" i="14"/>
  <c r="FH11" i="14" s="1"/>
  <c r="AJ24" i="11" s="1"/>
  <c r="FE11" i="14"/>
  <c r="FD11" i="14"/>
  <c r="FG10" i="14"/>
  <c r="FF10" i="14"/>
  <c r="FE10" i="14"/>
  <c r="FD10" i="14"/>
  <c r="FG9" i="14"/>
  <c r="FF9" i="14"/>
  <c r="FE9" i="14"/>
  <c r="FD9" i="14"/>
  <c r="FG8" i="14"/>
  <c r="FF8" i="14"/>
  <c r="FH8" i="14" s="1"/>
  <c r="AJ39" i="12" s="1"/>
  <c r="FE8" i="14"/>
  <c r="FD8" i="14"/>
  <c r="FG7" i="14"/>
  <c r="FF7" i="14"/>
  <c r="FE7" i="14"/>
  <c r="FD7" i="14"/>
  <c r="FG6" i="14"/>
  <c r="FF6" i="14"/>
  <c r="FE6" i="14"/>
  <c r="FD6" i="14"/>
  <c r="FG5" i="14"/>
  <c r="FG33" i="14" s="1"/>
  <c r="FF5" i="14"/>
  <c r="FF33" i="14" s="1"/>
  <c r="FE5" i="14"/>
  <c r="FD5" i="14"/>
  <c r="FG4" i="14"/>
  <c r="FF4" i="14"/>
  <c r="FE4" i="14"/>
  <c r="FD4" i="14"/>
  <c r="FB32" i="14"/>
  <c r="FA32" i="14"/>
  <c r="EZ32" i="14"/>
  <c r="EY32" i="14"/>
  <c r="FB31" i="14"/>
  <c r="FA31" i="14"/>
  <c r="FC31" i="14" s="1"/>
  <c r="EZ31" i="14"/>
  <c r="EY31" i="14"/>
  <c r="FB30" i="14"/>
  <c r="FA30" i="14"/>
  <c r="EZ30" i="14"/>
  <c r="EY30" i="14"/>
  <c r="FB29" i="14"/>
  <c r="FA29" i="14"/>
  <c r="EZ29" i="14"/>
  <c r="EY29" i="14"/>
  <c r="FB28" i="14"/>
  <c r="FA28" i="14"/>
  <c r="FC28" i="14" s="1"/>
  <c r="EZ28" i="14"/>
  <c r="EY28" i="14"/>
  <c r="FB27" i="14"/>
  <c r="FA27" i="14"/>
  <c r="EZ27" i="14"/>
  <c r="EY27" i="14"/>
  <c r="FB26" i="14"/>
  <c r="FA26" i="14"/>
  <c r="EZ26" i="14"/>
  <c r="EY26" i="14"/>
  <c r="FB25" i="14"/>
  <c r="FA25" i="14"/>
  <c r="FC25" i="14" s="1"/>
  <c r="EZ25" i="14"/>
  <c r="EY25" i="14"/>
  <c r="FB24" i="14"/>
  <c r="FA24" i="14"/>
  <c r="EZ24" i="14"/>
  <c r="EY24" i="14"/>
  <c r="FB23" i="14"/>
  <c r="FA23" i="14"/>
  <c r="EZ23" i="14"/>
  <c r="EY23" i="14"/>
  <c r="FB22" i="14"/>
  <c r="FA22" i="14"/>
  <c r="FC22" i="14" s="1"/>
  <c r="AJ71" i="4" s="1"/>
  <c r="EZ22" i="14"/>
  <c r="EY22" i="14"/>
  <c r="FB21" i="14"/>
  <c r="FA21" i="14"/>
  <c r="EZ21" i="14"/>
  <c r="EY21" i="14"/>
  <c r="FB20" i="14"/>
  <c r="FA20" i="14"/>
  <c r="EZ20" i="14"/>
  <c r="EY20" i="14"/>
  <c r="FB19" i="14"/>
  <c r="FA19" i="14"/>
  <c r="FC19" i="14" s="1"/>
  <c r="AJ47" i="4" s="1"/>
  <c r="EZ19" i="14"/>
  <c r="EY19" i="14"/>
  <c r="FB18" i="14"/>
  <c r="FA18" i="14"/>
  <c r="EZ18" i="14"/>
  <c r="EY18" i="14"/>
  <c r="FB17" i="14"/>
  <c r="FA17" i="14"/>
  <c r="EZ17" i="14"/>
  <c r="EY17" i="14"/>
  <c r="FB16" i="14"/>
  <c r="FA16" i="14"/>
  <c r="FC16" i="14" s="1"/>
  <c r="EZ16" i="14"/>
  <c r="EY16" i="14"/>
  <c r="FB15" i="14"/>
  <c r="FA15" i="14"/>
  <c r="EZ15" i="14"/>
  <c r="EY15" i="14"/>
  <c r="FB14" i="14"/>
  <c r="FA14" i="14"/>
  <c r="EZ14" i="14"/>
  <c r="EY14" i="14"/>
  <c r="FB13" i="14"/>
  <c r="FA13" i="14"/>
  <c r="FC13" i="14" s="1"/>
  <c r="AI40" i="11" s="1"/>
  <c r="EZ13" i="14"/>
  <c r="EY13" i="14"/>
  <c r="FB12" i="14"/>
  <c r="FA12" i="14"/>
  <c r="EZ12" i="14"/>
  <c r="EY12" i="14"/>
  <c r="FB11" i="14"/>
  <c r="FA11" i="14"/>
  <c r="EZ11" i="14"/>
  <c r="EY11" i="14"/>
  <c r="FB10" i="14"/>
  <c r="FA10" i="14"/>
  <c r="FC10" i="14" s="1"/>
  <c r="EZ10" i="14"/>
  <c r="EY10" i="14"/>
  <c r="FB9" i="14"/>
  <c r="FA9" i="14"/>
  <c r="EZ9" i="14"/>
  <c r="EY9" i="14"/>
  <c r="FB8" i="14"/>
  <c r="FA8" i="14"/>
  <c r="EZ8" i="14"/>
  <c r="EY8" i="14"/>
  <c r="FB7" i="14"/>
  <c r="FA7" i="14"/>
  <c r="FC7" i="14" s="1"/>
  <c r="AI31" i="12" s="1"/>
  <c r="EZ7" i="14"/>
  <c r="EY7" i="14"/>
  <c r="FB6" i="14"/>
  <c r="FA6" i="14"/>
  <c r="EZ6" i="14"/>
  <c r="EY6" i="14"/>
  <c r="FB5" i="14"/>
  <c r="FA5" i="14"/>
  <c r="EZ5" i="14"/>
  <c r="EY5" i="14"/>
  <c r="FB4" i="14"/>
  <c r="FA4" i="14"/>
  <c r="FA33" i="14" s="1"/>
  <c r="EZ4" i="14"/>
  <c r="EY4" i="14"/>
  <c r="EW32" i="14"/>
  <c r="EV32" i="14"/>
  <c r="EU32" i="14"/>
  <c r="ET32" i="14"/>
  <c r="EW31" i="14"/>
  <c r="EV31" i="14"/>
  <c r="EU31" i="14"/>
  <c r="ET31" i="14"/>
  <c r="EW30" i="14"/>
  <c r="EV30" i="14"/>
  <c r="EX30" i="14" s="1"/>
  <c r="EU30" i="14"/>
  <c r="ET30" i="14"/>
  <c r="EW29" i="14"/>
  <c r="EV29" i="14"/>
  <c r="EU29" i="14"/>
  <c r="ET29" i="14"/>
  <c r="EW28" i="14"/>
  <c r="EV28" i="14"/>
  <c r="EU28" i="14"/>
  <c r="ET28" i="14"/>
  <c r="EW27" i="14"/>
  <c r="EV27" i="14"/>
  <c r="EX27" i="14" s="1"/>
  <c r="EU27" i="14"/>
  <c r="ET27" i="14"/>
  <c r="EW26" i="14"/>
  <c r="EV26" i="14"/>
  <c r="EU26" i="14"/>
  <c r="ET26" i="14"/>
  <c r="EW25" i="14"/>
  <c r="EV25" i="14"/>
  <c r="EU25" i="14"/>
  <c r="ET25" i="14"/>
  <c r="EW24" i="14"/>
  <c r="EV24" i="14"/>
  <c r="EX24" i="14" s="1"/>
  <c r="AI87" i="4" s="1"/>
  <c r="EU24" i="14"/>
  <c r="ET24" i="14"/>
  <c r="EW23" i="14"/>
  <c r="EV23" i="14"/>
  <c r="EU23" i="14"/>
  <c r="ET23" i="14"/>
  <c r="EW22" i="14"/>
  <c r="EV22" i="14"/>
  <c r="EU22" i="14"/>
  <c r="ET22" i="14"/>
  <c r="EW21" i="14"/>
  <c r="EV21" i="14"/>
  <c r="EX21" i="14" s="1"/>
  <c r="AI63" i="4" s="1"/>
  <c r="EU21" i="14"/>
  <c r="ET21" i="14"/>
  <c r="EW20" i="14"/>
  <c r="EV20" i="14"/>
  <c r="EU20" i="14"/>
  <c r="ET20" i="14"/>
  <c r="EW19" i="14"/>
  <c r="EV19" i="14"/>
  <c r="EU19" i="14"/>
  <c r="ET19" i="14"/>
  <c r="EW18" i="14"/>
  <c r="EV18" i="14"/>
  <c r="EX18" i="14" s="1"/>
  <c r="AI39" i="4" s="1"/>
  <c r="EU18" i="14"/>
  <c r="ET18" i="14"/>
  <c r="EW17" i="14"/>
  <c r="EV17" i="14"/>
  <c r="EU17" i="14"/>
  <c r="ET17" i="14"/>
  <c r="EW16" i="14"/>
  <c r="EV16" i="14"/>
  <c r="EU16" i="14"/>
  <c r="ET16" i="14"/>
  <c r="EW15" i="14"/>
  <c r="EV15" i="14"/>
  <c r="EX15" i="14" s="1"/>
  <c r="AI15" i="4" s="1"/>
  <c r="EU15" i="14"/>
  <c r="ET15" i="14"/>
  <c r="EW14" i="14"/>
  <c r="EV14" i="14"/>
  <c r="EU14" i="14"/>
  <c r="ET14" i="14"/>
  <c r="EW13" i="14"/>
  <c r="EV13" i="14"/>
  <c r="EU13" i="14"/>
  <c r="ET13" i="14"/>
  <c r="EW12" i="14"/>
  <c r="EV12" i="14"/>
  <c r="EX12" i="14" s="1"/>
  <c r="AH32" i="11" s="1"/>
  <c r="EU12" i="14"/>
  <c r="ET12" i="14"/>
  <c r="EW11" i="14"/>
  <c r="EV11" i="14"/>
  <c r="EU11" i="14"/>
  <c r="ET11" i="14"/>
  <c r="EW10" i="14"/>
  <c r="EV10" i="14"/>
  <c r="EU10" i="14"/>
  <c r="ET10" i="14"/>
  <c r="EW9" i="14"/>
  <c r="EV9" i="14"/>
  <c r="EX9" i="14" s="1"/>
  <c r="AH16" i="11" s="1"/>
  <c r="EU9" i="14"/>
  <c r="ET9" i="14"/>
  <c r="EW8" i="14"/>
  <c r="EV8" i="14"/>
  <c r="EU8" i="14"/>
  <c r="ET8" i="14"/>
  <c r="EW7" i="14"/>
  <c r="EV7" i="14"/>
  <c r="EU7" i="14"/>
  <c r="ET7" i="14"/>
  <c r="EW6" i="14"/>
  <c r="EV6" i="14"/>
  <c r="EV33" i="14" s="1"/>
  <c r="EU6" i="14"/>
  <c r="ET6" i="14"/>
  <c r="EW5" i="14"/>
  <c r="EV5" i="14"/>
  <c r="EU5" i="14"/>
  <c r="ET5" i="14"/>
  <c r="EW4" i="14"/>
  <c r="EV4" i="14"/>
  <c r="EU4" i="14"/>
  <c r="ET4" i="14"/>
  <c r="ER32" i="14"/>
  <c r="EQ32" i="14"/>
  <c r="ES32" i="14" s="1"/>
  <c r="EP32" i="14"/>
  <c r="EO32" i="14"/>
  <c r="ER31" i="14"/>
  <c r="EQ31" i="14"/>
  <c r="EP31" i="14"/>
  <c r="EO31" i="14"/>
  <c r="ER30" i="14"/>
  <c r="EQ30" i="14"/>
  <c r="EP30" i="14"/>
  <c r="EO30" i="14"/>
  <c r="ER29" i="14"/>
  <c r="EQ29" i="14"/>
  <c r="ES29" i="14" s="1"/>
  <c r="EP29" i="14"/>
  <c r="EO29" i="14"/>
  <c r="ER28" i="14"/>
  <c r="EQ28" i="14"/>
  <c r="EP28" i="14"/>
  <c r="EO28" i="14"/>
  <c r="ER27" i="14"/>
  <c r="EQ27" i="14"/>
  <c r="EP27" i="14"/>
  <c r="EO27" i="14"/>
  <c r="ER26" i="14"/>
  <c r="EQ26" i="14"/>
  <c r="ES26" i="14" s="1"/>
  <c r="EP26" i="14"/>
  <c r="EO26" i="14"/>
  <c r="ER25" i="14"/>
  <c r="EQ25" i="14"/>
  <c r="EP25" i="14"/>
  <c r="EO25" i="14"/>
  <c r="ER24" i="14"/>
  <c r="EQ24" i="14"/>
  <c r="EP24" i="14"/>
  <c r="EO24" i="14"/>
  <c r="ER23" i="14"/>
  <c r="EQ23" i="14"/>
  <c r="ES23" i="14" s="1"/>
  <c r="AH79" i="4" s="1"/>
  <c r="EP23" i="14"/>
  <c r="EO23" i="14"/>
  <c r="ER22" i="14"/>
  <c r="EQ22" i="14"/>
  <c r="EP22" i="14"/>
  <c r="EO22" i="14"/>
  <c r="ER21" i="14"/>
  <c r="EQ21" i="14"/>
  <c r="EP21" i="14"/>
  <c r="EO21" i="14"/>
  <c r="ER20" i="14"/>
  <c r="EQ20" i="14"/>
  <c r="ES20" i="14" s="1"/>
  <c r="AH55" i="4" s="1"/>
  <c r="EP20" i="14"/>
  <c r="EO20" i="14"/>
  <c r="ER19" i="14"/>
  <c r="EQ19" i="14"/>
  <c r="EP19" i="14"/>
  <c r="EO19" i="14"/>
  <c r="ER18" i="14"/>
  <c r="EQ18" i="14"/>
  <c r="EP18" i="14"/>
  <c r="EO18" i="14"/>
  <c r="ER17" i="14"/>
  <c r="EQ17" i="14"/>
  <c r="ES17" i="14" s="1"/>
  <c r="AH31" i="4" s="1"/>
  <c r="EP17" i="14"/>
  <c r="EO17" i="14"/>
  <c r="ER16" i="14"/>
  <c r="EQ16" i="14"/>
  <c r="EP16" i="14"/>
  <c r="EO16" i="14"/>
  <c r="ER15" i="14"/>
  <c r="EQ15" i="14"/>
  <c r="EP15" i="14"/>
  <c r="EO15" i="14"/>
  <c r="ER14" i="14"/>
  <c r="EQ14" i="14"/>
  <c r="ES14" i="14" s="1"/>
  <c r="EP14" i="14"/>
  <c r="EO14" i="14"/>
  <c r="ER13" i="14"/>
  <c r="EQ13" i="14"/>
  <c r="EP13" i="14"/>
  <c r="EO13" i="14"/>
  <c r="ER12" i="14"/>
  <c r="EQ12" i="14"/>
  <c r="EP12" i="14"/>
  <c r="EO12" i="14"/>
  <c r="ER11" i="14"/>
  <c r="EQ11" i="14"/>
  <c r="ES11" i="14" s="1"/>
  <c r="AG24" i="11" s="1"/>
  <c r="EP11" i="14"/>
  <c r="EO11" i="14"/>
  <c r="ER10" i="14"/>
  <c r="EQ10" i="14"/>
  <c r="EP10" i="14"/>
  <c r="EO10" i="14"/>
  <c r="ER9" i="14"/>
  <c r="EQ9" i="14"/>
  <c r="EP9" i="14"/>
  <c r="EO9" i="14"/>
  <c r="ER8" i="14"/>
  <c r="EQ8" i="14"/>
  <c r="ES8" i="14" s="1"/>
  <c r="AG39" i="12" s="1"/>
  <c r="EP8" i="14"/>
  <c r="EO8" i="14"/>
  <c r="ER7" i="14"/>
  <c r="EQ7" i="14"/>
  <c r="EP7" i="14"/>
  <c r="EO7" i="14"/>
  <c r="ER6" i="14"/>
  <c r="EQ6" i="14"/>
  <c r="EP6" i="14"/>
  <c r="EO6" i="14"/>
  <c r="ER5" i="14"/>
  <c r="ER33" i="14" s="1"/>
  <c r="EQ5" i="14"/>
  <c r="ES5" i="14" s="1"/>
  <c r="AG15" i="12" s="1"/>
  <c r="EP5" i="14"/>
  <c r="EO5" i="14"/>
  <c r="ER4" i="14"/>
  <c r="EQ4" i="14"/>
  <c r="EP4" i="14"/>
  <c r="EO4" i="14"/>
  <c r="EM32" i="14"/>
  <c r="EL32" i="14"/>
  <c r="EK32" i="14"/>
  <c r="EJ32" i="14"/>
  <c r="EM31" i="14"/>
  <c r="EL31" i="14"/>
  <c r="EN31" i="14" s="1"/>
  <c r="GC31" i="14" s="1"/>
  <c r="EK31" i="14"/>
  <c r="EJ31" i="14"/>
  <c r="EM30" i="14"/>
  <c r="EL30" i="14"/>
  <c r="EK30" i="14"/>
  <c r="EJ30" i="14"/>
  <c r="EM29" i="14"/>
  <c r="EL29" i="14"/>
  <c r="EK29" i="14"/>
  <c r="EJ29" i="14"/>
  <c r="EM28" i="14"/>
  <c r="EL28" i="14"/>
  <c r="EN28" i="14" s="1"/>
  <c r="GC28" i="14" s="1"/>
  <c r="EK28" i="14"/>
  <c r="EJ28" i="14"/>
  <c r="EM27" i="14"/>
  <c r="EL27" i="14"/>
  <c r="EK27" i="14"/>
  <c r="EJ27" i="14"/>
  <c r="EM26" i="14"/>
  <c r="EL26" i="14"/>
  <c r="EK26" i="14"/>
  <c r="EJ26" i="14"/>
  <c r="EM25" i="14"/>
  <c r="EL25" i="14"/>
  <c r="EN25" i="14" s="1"/>
  <c r="GC25" i="14" s="1"/>
  <c r="EK25" i="14"/>
  <c r="EJ25" i="14"/>
  <c r="EM24" i="14"/>
  <c r="EL24" i="14"/>
  <c r="EK24" i="14"/>
  <c r="EJ24" i="14"/>
  <c r="EM23" i="14"/>
  <c r="EL23" i="14"/>
  <c r="EK23" i="14"/>
  <c r="EJ23" i="14"/>
  <c r="EM22" i="14"/>
  <c r="EL22" i="14"/>
  <c r="EN22" i="14" s="1"/>
  <c r="EK22" i="14"/>
  <c r="EJ22" i="14"/>
  <c r="EM21" i="14"/>
  <c r="EL21" i="14"/>
  <c r="EK21" i="14"/>
  <c r="EJ21" i="14"/>
  <c r="EM20" i="14"/>
  <c r="EL20" i="14"/>
  <c r="EK20" i="14"/>
  <c r="EJ20" i="14"/>
  <c r="EM19" i="14"/>
  <c r="EL19" i="14"/>
  <c r="EN19" i="14" s="1"/>
  <c r="AG47" i="4" s="1"/>
  <c r="EK19" i="14"/>
  <c r="EJ19" i="14"/>
  <c r="EM18" i="14"/>
  <c r="EL18" i="14"/>
  <c r="EK18" i="14"/>
  <c r="EJ18" i="14"/>
  <c r="EM17" i="14"/>
  <c r="EL17" i="14"/>
  <c r="EK17" i="14"/>
  <c r="EJ17" i="14"/>
  <c r="EM16" i="14"/>
  <c r="EL16" i="14"/>
  <c r="EN16" i="14" s="1"/>
  <c r="EK16" i="14"/>
  <c r="EJ16" i="14"/>
  <c r="EM15" i="14"/>
  <c r="EL15" i="14"/>
  <c r="EK15" i="14"/>
  <c r="EJ15" i="14"/>
  <c r="EM14" i="14"/>
  <c r="EL14" i="14"/>
  <c r="EK14" i="14"/>
  <c r="EJ14" i="14"/>
  <c r="EM13" i="14"/>
  <c r="EL13" i="14"/>
  <c r="EN13" i="14" s="1"/>
  <c r="AE40" i="11" s="1"/>
  <c r="EK13" i="14"/>
  <c r="EJ13" i="14"/>
  <c r="EM12" i="14"/>
  <c r="EL12" i="14"/>
  <c r="EK12" i="14"/>
  <c r="EJ12" i="14"/>
  <c r="EM11" i="14"/>
  <c r="EL11" i="14"/>
  <c r="EK11" i="14"/>
  <c r="EJ11" i="14"/>
  <c r="EM10" i="14"/>
  <c r="EL10" i="14"/>
  <c r="EN10" i="14" s="1"/>
  <c r="EK10" i="14"/>
  <c r="EJ10" i="14"/>
  <c r="EM9" i="14"/>
  <c r="EL9" i="14"/>
  <c r="EK9" i="14"/>
  <c r="EJ9" i="14"/>
  <c r="EM8" i="14"/>
  <c r="EL8" i="14"/>
  <c r="EK8" i="14"/>
  <c r="EJ8" i="14"/>
  <c r="EM7" i="14"/>
  <c r="EL7" i="14"/>
  <c r="EN7" i="14" s="1"/>
  <c r="AF31" i="12" s="1"/>
  <c r="EK7" i="14"/>
  <c r="EJ7" i="14"/>
  <c r="EM6" i="14"/>
  <c r="EL6" i="14"/>
  <c r="EK6" i="14"/>
  <c r="EJ6" i="14"/>
  <c r="EM5" i="14"/>
  <c r="EL5" i="14"/>
  <c r="EK5" i="14"/>
  <c r="EJ5" i="14"/>
  <c r="EM4" i="14"/>
  <c r="EL4" i="14"/>
  <c r="EL33" i="14" s="1"/>
  <c r="EK4" i="14"/>
  <c r="EJ4" i="14"/>
  <c r="EH32" i="14"/>
  <c r="EG32" i="14"/>
  <c r="EF32" i="14"/>
  <c r="EE32" i="14"/>
  <c r="EH31" i="14"/>
  <c r="EG31" i="14"/>
  <c r="EF31" i="14"/>
  <c r="EE31" i="14"/>
  <c r="EH30" i="14"/>
  <c r="EG30" i="14"/>
  <c r="EI30" i="14" s="1"/>
  <c r="EF30" i="14"/>
  <c r="EE30" i="14"/>
  <c r="EH29" i="14"/>
  <c r="EG29" i="14"/>
  <c r="EF29" i="14"/>
  <c r="EE29" i="14"/>
  <c r="EH28" i="14"/>
  <c r="EG28" i="14"/>
  <c r="EF28" i="14"/>
  <c r="EE28" i="14"/>
  <c r="EH27" i="14"/>
  <c r="EG27" i="14"/>
  <c r="EI27" i="14" s="1"/>
  <c r="EF27" i="14"/>
  <c r="EE27" i="14"/>
  <c r="EH26" i="14"/>
  <c r="EG26" i="14"/>
  <c r="EF26" i="14"/>
  <c r="EE26" i="14"/>
  <c r="EH25" i="14"/>
  <c r="EG25" i="14"/>
  <c r="EF25" i="14"/>
  <c r="EE25" i="14"/>
  <c r="EH24" i="14"/>
  <c r="EG24" i="14"/>
  <c r="EI24" i="14" s="1"/>
  <c r="EF24" i="14"/>
  <c r="EE24" i="14"/>
  <c r="EH23" i="14"/>
  <c r="EG23" i="14"/>
  <c r="EF23" i="14"/>
  <c r="EE23" i="14"/>
  <c r="EH22" i="14"/>
  <c r="EG22" i="14"/>
  <c r="EF22" i="14"/>
  <c r="EE22" i="14"/>
  <c r="EH21" i="14"/>
  <c r="EG21" i="14"/>
  <c r="EI21" i="14" s="1"/>
  <c r="EF21" i="14"/>
  <c r="EE21" i="14"/>
  <c r="EH20" i="14"/>
  <c r="EG20" i="14"/>
  <c r="EF20" i="14"/>
  <c r="EE20" i="14"/>
  <c r="EH19" i="14"/>
  <c r="EG19" i="14"/>
  <c r="EF19" i="14"/>
  <c r="EE19" i="14"/>
  <c r="EH18" i="14"/>
  <c r="EG18" i="14"/>
  <c r="EI18" i="14" s="1"/>
  <c r="AF39" i="4" s="1"/>
  <c r="EF18" i="14"/>
  <c r="EE18" i="14"/>
  <c r="EH17" i="14"/>
  <c r="EG17" i="14"/>
  <c r="EF17" i="14"/>
  <c r="EE17" i="14"/>
  <c r="EH16" i="14"/>
  <c r="EG16" i="14"/>
  <c r="EF16" i="14"/>
  <c r="EE16" i="14"/>
  <c r="EH15" i="14"/>
  <c r="EG15" i="14"/>
  <c r="EI15" i="14" s="1"/>
  <c r="AF15" i="4" s="1"/>
  <c r="EF15" i="14"/>
  <c r="EE15" i="14"/>
  <c r="EH14" i="14"/>
  <c r="EG14" i="14"/>
  <c r="EF14" i="14"/>
  <c r="EE14" i="14"/>
  <c r="EH13" i="14"/>
  <c r="EG13" i="14"/>
  <c r="EF13" i="14"/>
  <c r="EE13" i="14"/>
  <c r="EH12" i="14"/>
  <c r="EG12" i="14"/>
  <c r="EI12" i="14" s="1"/>
  <c r="EF12" i="14"/>
  <c r="EE12" i="14"/>
  <c r="EH11" i="14"/>
  <c r="EG11" i="14"/>
  <c r="EF11" i="14"/>
  <c r="EE11" i="14"/>
  <c r="EH10" i="14"/>
  <c r="EG10" i="14"/>
  <c r="EF10" i="14"/>
  <c r="EE10" i="14"/>
  <c r="EH9" i="14"/>
  <c r="EG9" i="14"/>
  <c r="EI9" i="14" s="1"/>
  <c r="AD8" i="11" s="1"/>
  <c r="EF9" i="14"/>
  <c r="EE9" i="14"/>
  <c r="EH8" i="14"/>
  <c r="EG8" i="14"/>
  <c r="EF8" i="14"/>
  <c r="EE8" i="14"/>
  <c r="EH7" i="14"/>
  <c r="EG7" i="14"/>
  <c r="EF7" i="14"/>
  <c r="EE7" i="14"/>
  <c r="EH6" i="14"/>
  <c r="EG6" i="14"/>
  <c r="EI6" i="14" s="1"/>
  <c r="EF6" i="14"/>
  <c r="EE6" i="14"/>
  <c r="EH5" i="14"/>
  <c r="EG5" i="14"/>
  <c r="EF5" i="14"/>
  <c r="EE5" i="14"/>
  <c r="EH4" i="14"/>
  <c r="EG4" i="14"/>
  <c r="EF4" i="14"/>
  <c r="EE4" i="14"/>
  <c r="EC32" i="14"/>
  <c r="EB32" i="14"/>
  <c r="ED32" i="14" s="1"/>
  <c r="GC32" i="14" s="1"/>
  <c r="EA32" i="14"/>
  <c r="DZ32" i="14"/>
  <c r="EC31" i="14"/>
  <c r="EB31" i="14"/>
  <c r="EA31" i="14"/>
  <c r="DZ31" i="14"/>
  <c r="EC30" i="14"/>
  <c r="EB30" i="14"/>
  <c r="EA30" i="14"/>
  <c r="DZ30" i="14"/>
  <c r="EC29" i="14"/>
  <c r="EB29" i="14"/>
  <c r="ED29" i="14" s="1"/>
  <c r="GC29" i="14" s="1"/>
  <c r="EA29" i="14"/>
  <c r="DZ29" i="14"/>
  <c r="EC28" i="14"/>
  <c r="EB28" i="14"/>
  <c r="EA28" i="14"/>
  <c r="DZ28" i="14"/>
  <c r="EC27" i="14"/>
  <c r="EB27" i="14"/>
  <c r="EA27" i="14"/>
  <c r="DZ27" i="14"/>
  <c r="EC26" i="14"/>
  <c r="EB26" i="14"/>
  <c r="ED26" i="14" s="1"/>
  <c r="GC26" i="14" s="1"/>
  <c r="EA26" i="14"/>
  <c r="DZ26" i="14"/>
  <c r="EC25" i="14"/>
  <c r="EB25" i="14"/>
  <c r="EA25" i="14"/>
  <c r="DZ25" i="14"/>
  <c r="EC24" i="14"/>
  <c r="EB24" i="14"/>
  <c r="EA24" i="14"/>
  <c r="DZ24" i="14"/>
  <c r="EC23" i="14"/>
  <c r="EB23" i="14"/>
  <c r="ED23" i="14" s="1"/>
  <c r="AE79" i="4" s="1"/>
  <c r="EA23" i="14"/>
  <c r="DZ23" i="14"/>
  <c r="EC22" i="14"/>
  <c r="EB22" i="14"/>
  <c r="EA22" i="14"/>
  <c r="DZ22" i="14"/>
  <c r="EC21" i="14"/>
  <c r="EB21" i="14"/>
  <c r="EA21" i="14"/>
  <c r="DZ21" i="14"/>
  <c r="EC20" i="14"/>
  <c r="EB20" i="14"/>
  <c r="ED20" i="14" s="1"/>
  <c r="AE55" i="4" s="1"/>
  <c r="EA20" i="14"/>
  <c r="DZ20" i="14"/>
  <c r="EC19" i="14"/>
  <c r="EB19" i="14"/>
  <c r="EA19" i="14"/>
  <c r="DZ19" i="14"/>
  <c r="EC18" i="14"/>
  <c r="EB18" i="14"/>
  <c r="EA18" i="14"/>
  <c r="DZ18" i="14"/>
  <c r="EC17" i="14"/>
  <c r="EB17" i="14"/>
  <c r="ED17" i="14" s="1"/>
  <c r="AE31" i="4" s="1"/>
  <c r="EA17" i="14"/>
  <c r="DZ17" i="14"/>
  <c r="EC16" i="14"/>
  <c r="EB16" i="14"/>
  <c r="EA16" i="14"/>
  <c r="DZ16" i="14"/>
  <c r="EC15" i="14"/>
  <c r="EB15" i="14"/>
  <c r="EA15" i="14"/>
  <c r="DZ15" i="14"/>
  <c r="EC14" i="14"/>
  <c r="EB14" i="14"/>
  <c r="ED14" i="14" s="1"/>
  <c r="EA14" i="14"/>
  <c r="DZ14" i="14"/>
  <c r="EC13" i="14"/>
  <c r="EB13" i="14"/>
  <c r="EA13" i="14"/>
  <c r="DZ13" i="14"/>
  <c r="EC12" i="14"/>
  <c r="EB12" i="14"/>
  <c r="EA12" i="14"/>
  <c r="DZ12" i="14"/>
  <c r="EC11" i="14"/>
  <c r="EB11" i="14"/>
  <c r="ED11" i="14" s="1"/>
  <c r="EA11" i="14"/>
  <c r="DZ11" i="14"/>
  <c r="EC10" i="14"/>
  <c r="EB10" i="14"/>
  <c r="EA10" i="14"/>
  <c r="DZ10" i="14"/>
  <c r="EC9" i="14"/>
  <c r="EB9" i="14"/>
  <c r="EA9" i="14"/>
  <c r="DZ9" i="14"/>
  <c r="EC8" i="14"/>
  <c r="EB8" i="14"/>
  <c r="ED8" i="14" s="1"/>
  <c r="AD39" i="12" s="1"/>
  <c r="EA8" i="14"/>
  <c r="DZ8" i="14"/>
  <c r="EC7" i="14"/>
  <c r="EB7" i="14"/>
  <c r="EA7" i="14"/>
  <c r="DZ7" i="14"/>
  <c r="EC6" i="14"/>
  <c r="EB6" i="14"/>
  <c r="EA6" i="14"/>
  <c r="DZ6" i="14"/>
  <c r="EC5" i="14"/>
  <c r="EC33" i="14" s="1"/>
  <c r="EB5" i="14"/>
  <c r="ED5" i="14" s="1"/>
  <c r="AD15" i="12" s="1"/>
  <c r="EA5" i="14"/>
  <c r="DZ5" i="14"/>
  <c r="EC4" i="14"/>
  <c r="EB4" i="14"/>
  <c r="EA4" i="14"/>
  <c r="DZ4" i="14"/>
  <c r="DU5" i="14"/>
  <c r="DV5" i="14"/>
  <c r="DW5" i="14"/>
  <c r="DX5" i="14"/>
  <c r="DU6" i="14"/>
  <c r="DY6" i="14" s="1"/>
  <c r="AC23" i="12" s="1"/>
  <c r="DV6" i="14"/>
  <c r="DV33" i="14" s="1"/>
  <c r="DW6" i="14"/>
  <c r="DX6" i="14"/>
  <c r="DU7" i="14"/>
  <c r="DV7" i="14"/>
  <c r="DW7" i="14"/>
  <c r="DX7" i="14"/>
  <c r="DU8" i="14"/>
  <c r="DV8" i="14"/>
  <c r="DW8" i="14"/>
  <c r="DX8" i="14"/>
  <c r="DU9" i="14"/>
  <c r="DY9" i="14" s="1"/>
  <c r="AC8" i="11" s="1"/>
  <c r="DV9" i="14"/>
  <c r="DW9" i="14"/>
  <c r="DX9" i="14"/>
  <c r="DU10" i="14"/>
  <c r="DV10" i="14"/>
  <c r="DW10" i="14"/>
  <c r="DX10" i="14"/>
  <c r="DU11" i="14"/>
  <c r="DV11" i="14"/>
  <c r="DW11" i="14"/>
  <c r="DX11" i="14"/>
  <c r="DU12" i="14"/>
  <c r="DY12" i="14" s="1"/>
  <c r="AC32" i="11" s="1"/>
  <c r="DV12" i="14"/>
  <c r="DW12" i="14"/>
  <c r="DX12" i="14"/>
  <c r="DU13" i="14"/>
  <c r="DV13" i="14"/>
  <c r="DW13" i="14"/>
  <c r="DX13" i="14"/>
  <c r="DU14" i="14"/>
  <c r="DV14" i="14"/>
  <c r="DW14" i="14"/>
  <c r="DX14" i="14"/>
  <c r="DU15" i="14"/>
  <c r="DY15" i="14" s="1"/>
  <c r="AD15" i="4" s="1"/>
  <c r="DV15" i="14"/>
  <c r="DW15" i="14"/>
  <c r="DX15" i="14"/>
  <c r="DU16" i="14"/>
  <c r="DV16" i="14"/>
  <c r="DW16" i="14"/>
  <c r="DX16" i="14"/>
  <c r="DU17" i="14"/>
  <c r="DV17" i="14"/>
  <c r="DW17" i="14"/>
  <c r="DX17" i="14"/>
  <c r="DU18" i="14"/>
  <c r="DY18" i="14" s="1"/>
  <c r="AD39" i="4" s="1"/>
  <c r="DV18" i="14"/>
  <c r="DW18" i="14"/>
  <c r="DX18" i="14"/>
  <c r="DU19" i="14"/>
  <c r="DV19" i="14"/>
  <c r="DW19" i="14"/>
  <c r="DX19" i="14"/>
  <c r="DU20" i="14"/>
  <c r="DV20" i="14"/>
  <c r="DW20" i="14"/>
  <c r="DX20" i="14"/>
  <c r="DU21" i="14"/>
  <c r="DY21" i="14" s="1"/>
  <c r="AD63" i="4" s="1"/>
  <c r="DV21" i="14"/>
  <c r="DW21" i="14"/>
  <c r="DX21" i="14"/>
  <c r="DU22" i="14"/>
  <c r="DV22" i="14"/>
  <c r="DW22" i="14"/>
  <c r="DX22" i="14"/>
  <c r="DU23" i="14"/>
  <c r="DV23" i="14"/>
  <c r="DW23" i="14"/>
  <c r="DX23" i="14"/>
  <c r="DU24" i="14"/>
  <c r="DY24" i="14" s="1"/>
  <c r="AD87" i="4" s="1"/>
  <c r="DV24" i="14"/>
  <c r="DW24" i="14"/>
  <c r="DX24" i="14"/>
  <c r="DU25" i="14"/>
  <c r="DV25" i="14"/>
  <c r="DW25" i="14"/>
  <c r="DX25" i="14"/>
  <c r="DU26" i="14"/>
  <c r="DV26" i="14"/>
  <c r="DW26" i="14"/>
  <c r="DX26" i="14"/>
  <c r="DU27" i="14"/>
  <c r="DY27" i="14" s="1"/>
  <c r="DV27" i="14"/>
  <c r="DW27" i="14"/>
  <c r="DX27" i="14"/>
  <c r="DU28" i="14"/>
  <c r="DV28" i="14"/>
  <c r="DW28" i="14"/>
  <c r="DX28" i="14"/>
  <c r="DU29" i="14"/>
  <c r="DV29" i="14"/>
  <c r="DW29" i="14"/>
  <c r="DX29" i="14"/>
  <c r="DU30" i="14"/>
  <c r="DY30" i="14" s="1"/>
  <c r="DV30" i="14"/>
  <c r="DW30" i="14"/>
  <c r="DX30" i="14"/>
  <c r="DU31" i="14"/>
  <c r="DV31" i="14"/>
  <c r="DW31" i="14"/>
  <c r="DX31" i="14"/>
  <c r="DU32" i="14"/>
  <c r="DV32" i="14"/>
  <c r="DW32" i="14"/>
  <c r="DX32" i="14"/>
  <c r="DX4" i="14"/>
  <c r="DW4" i="14"/>
  <c r="DW33" i="14" s="1"/>
  <c r="DV4" i="14"/>
  <c r="DU4" i="14"/>
  <c r="DY4" i="14" s="1"/>
  <c r="AC7" i="12" s="1"/>
  <c r="DR32" i="14"/>
  <c r="DQ32" i="14"/>
  <c r="DP32" i="14"/>
  <c r="DO32" i="14"/>
  <c r="DR31" i="14"/>
  <c r="DQ31" i="14"/>
  <c r="DP31" i="14"/>
  <c r="DO31" i="14"/>
  <c r="DR30" i="14"/>
  <c r="DQ30" i="14"/>
  <c r="DP30" i="14"/>
  <c r="DO30" i="14"/>
  <c r="DR29" i="14"/>
  <c r="DQ29" i="14"/>
  <c r="DP29" i="14"/>
  <c r="DO29" i="14"/>
  <c r="DR28" i="14"/>
  <c r="DQ28" i="14"/>
  <c r="DP28" i="14"/>
  <c r="DO28" i="14"/>
  <c r="DR27" i="14"/>
  <c r="DQ27" i="14"/>
  <c r="DP27" i="14"/>
  <c r="DO27" i="14"/>
  <c r="DR26" i="14"/>
  <c r="DQ26" i="14"/>
  <c r="DP26" i="14"/>
  <c r="DO26" i="14"/>
  <c r="DR25" i="14"/>
  <c r="DQ25" i="14"/>
  <c r="DP25" i="14"/>
  <c r="DO25" i="14"/>
  <c r="DR24" i="14"/>
  <c r="DQ24" i="14"/>
  <c r="DP24" i="14"/>
  <c r="DO24" i="14"/>
  <c r="DR23" i="14"/>
  <c r="DQ23" i="14"/>
  <c r="DP23" i="14"/>
  <c r="DO23" i="14"/>
  <c r="DR22" i="14"/>
  <c r="DQ22" i="14"/>
  <c r="DP22" i="14"/>
  <c r="DO22" i="14"/>
  <c r="DR21" i="14"/>
  <c r="DQ21" i="14"/>
  <c r="DP21" i="14"/>
  <c r="DO21" i="14"/>
  <c r="DR20" i="14"/>
  <c r="DQ20" i="14"/>
  <c r="DP20" i="14"/>
  <c r="DO20" i="14"/>
  <c r="DR19" i="14"/>
  <c r="DQ19" i="14"/>
  <c r="DP19" i="14"/>
  <c r="DO19" i="14"/>
  <c r="DR18" i="14"/>
  <c r="DQ18" i="14"/>
  <c r="DP18" i="14"/>
  <c r="DO18" i="14"/>
  <c r="DR17" i="14"/>
  <c r="DQ17" i="14"/>
  <c r="DP17" i="14"/>
  <c r="DO17" i="14"/>
  <c r="DR16" i="14"/>
  <c r="DQ16" i="14"/>
  <c r="DP16" i="14"/>
  <c r="DO16" i="14"/>
  <c r="DR15" i="14"/>
  <c r="DQ15" i="14"/>
  <c r="DP15" i="14"/>
  <c r="DO15" i="14"/>
  <c r="DR14" i="14"/>
  <c r="DQ14" i="14"/>
  <c r="DP14" i="14"/>
  <c r="DO14" i="14"/>
  <c r="DR13" i="14"/>
  <c r="DQ13" i="14"/>
  <c r="DP13" i="14"/>
  <c r="DO13" i="14"/>
  <c r="DR12" i="14"/>
  <c r="DQ12" i="14"/>
  <c r="DP12" i="14"/>
  <c r="DO12" i="14"/>
  <c r="DR11" i="14"/>
  <c r="DQ11" i="14"/>
  <c r="DP11" i="14"/>
  <c r="DO11" i="14"/>
  <c r="DR10" i="14"/>
  <c r="DQ10" i="14"/>
  <c r="DP10" i="14"/>
  <c r="DO10" i="14"/>
  <c r="DR9" i="14"/>
  <c r="DQ9" i="14"/>
  <c r="DP9" i="14"/>
  <c r="DO9" i="14"/>
  <c r="DR8" i="14"/>
  <c r="DQ8" i="14"/>
  <c r="DP8" i="14"/>
  <c r="DO8" i="14"/>
  <c r="DR7" i="14"/>
  <c r="DQ7" i="14"/>
  <c r="DP7" i="14"/>
  <c r="DO7" i="14"/>
  <c r="DR6" i="14"/>
  <c r="DQ6" i="14"/>
  <c r="DP6" i="14"/>
  <c r="DO6" i="14"/>
  <c r="DR5" i="14"/>
  <c r="DQ5" i="14"/>
  <c r="DP5" i="14"/>
  <c r="DO5" i="14"/>
  <c r="DR4" i="14"/>
  <c r="DQ4" i="14"/>
  <c r="DP4" i="14"/>
  <c r="DO4" i="14"/>
  <c r="DM32" i="14"/>
  <c r="DL32" i="14"/>
  <c r="DN32" i="14" s="1"/>
  <c r="DK32" i="14"/>
  <c r="DJ32" i="14"/>
  <c r="DM31" i="14"/>
  <c r="DL31" i="14"/>
  <c r="DK31" i="14"/>
  <c r="DJ31" i="14"/>
  <c r="DM30" i="14"/>
  <c r="DL30" i="14"/>
  <c r="DK30" i="14"/>
  <c r="DJ30" i="14"/>
  <c r="DM29" i="14"/>
  <c r="DL29" i="14"/>
  <c r="DN29" i="14" s="1"/>
  <c r="DK29" i="14"/>
  <c r="DJ29" i="14"/>
  <c r="DM28" i="14"/>
  <c r="DL28" i="14"/>
  <c r="DK28" i="14"/>
  <c r="DJ28" i="14"/>
  <c r="DM27" i="14"/>
  <c r="DL27" i="14"/>
  <c r="DK27" i="14"/>
  <c r="DJ27" i="14"/>
  <c r="DM26" i="14"/>
  <c r="DL26" i="14"/>
  <c r="DN26" i="14" s="1"/>
  <c r="DK26" i="14"/>
  <c r="DJ26" i="14"/>
  <c r="DM25" i="14"/>
  <c r="DL25" i="14"/>
  <c r="DK25" i="14"/>
  <c r="DJ25" i="14"/>
  <c r="DM24" i="14"/>
  <c r="DL24" i="14"/>
  <c r="DK24" i="14"/>
  <c r="DJ24" i="14"/>
  <c r="DM23" i="14"/>
  <c r="DL23" i="14"/>
  <c r="DK23" i="14"/>
  <c r="DJ23" i="14"/>
  <c r="DM22" i="14"/>
  <c r="DL22" i="14"/>
  <c r="DK22" i="14"/>
  <c r="DJ22" i="14"/>
  <c r="DM21" i="14"/>
  <c r="DL21" i="14"/>
  <c r="DK21" i="14"/>
  <c r="DJ21" i="14"/>
  <c r="DM20" i="14"/>
  <c r="DL20" i="14"/>
  <c r="DK20" i="14"/>
  <c r="DJ20" i="14"/>
  <c r="DM19" i="14"/>
  <c r="DL19" i="14"/>
  <c r="DK19" i="14"/>
  <c r="DJ19" i="14"/>
  <c r="DM18" i="14"/>
  <c r="DL18" i="14"/>
  <c r="DK18" i="14"/>
  <c r="DJ18" i="14"/>
  <c r="DM17" i="14"/>
  <c r="DL17" i="14"/>
  <c r="DK17" i="14"/>
  <c r="DJ17" i="14"/>
  <c r="DM16" i="14"/>
  <c r="DL16" i="14"/>
  <c r="DK16" i="14"/>
  <c r="DJ16" i="14"/>
  <c r="DM15" i="14"/>
  <c r="DL15" i="14"/>
  <c r="DK15" i="14"/>
  <c r="DJ15" i="14"/>
  <c r="DM14" i="14"/>
  <c r="DL14" i="14"/>
  <c r="DK14" i="14"/>
  <c r="DJ14" i="14"/>
  <c r="DM13" i="14"/>
  <c r="DL13" i="14"/>
  <c r="DK13" i="14"/>
  <c r="DJ13" i="14"/>
  <c r="DM12" i="14"/>
  <c r="DL12" i="14"/>
  <c r="DK12" i="14"/>
  <c r="DJ12" i="14"/>
  <c r="DM11" i="14"/>
  <c r="DL11" i="14"/>
  <c r="DK11" i="14"/>
  <c r="DJ11" i="14"/>
  <c r="DM10" i="14"/>
  <c r="DL10" i="14"/>
  <c r="DK10" i="14"/>
  <c r="DJ10" i="14"/>
  <c r="DM9" i="14"/>
  <c r="DL9" i="14"/>
  <c r="DK9" i="14"/>
  <c r="DJ9" i="14"/>
  <c r="DM8" i="14"/>
  <c r="DL8" i="14"/>
  <c r="DK8" i="14"/>
  <c r="DJ8" i="14"/>
  <c r="DM7" i="14"/>
  <c r="DL7" i="14"/>
  <c r="DK7" i="14"/>
  <c r="DJ7" i="14"/>
  <c r="DM6" i="14"/>
  <c r="DL6" i="14"/>
  <c r="DK6" i="14"/>
  <c r="DJ6" i="14"/>
  <c r="DM5" i="14"/>
  <c r="DL5" i="14"/>
  <c r="DK5" i="14"/>
  <c r="DJ5" i="14"/>
  <c r="DM4" i="14"/>
  <c r="DL4" i="14"/>
  <c r="DK4" i="14"/>
  <c r="DK33" i="14" s="1"/>
  <c r="DJ4" i="14"/>
  <c r="DH32" i="14"/>
  <c r="DG32" i="14"/>
  <c r="DF32" i="14"/>
  <c r="DE32" i="14"/>
  <c r="DH31" i="14"/>
  <c r="DG31" i="14"/>
  <c r="DI31" i="14" s="1"/>
  <c r="DF31" i="14"/>
  <c r="DE31" i="14"/>
  <c r="DH30" i="14"/>
  <c r="DG30" i="14"/>
  <c r="DF30" i="14"/>
  <c r="DE30" i="14"/>
  <c r="DH29" i="14"/>
  <c r="DG29" i="14"/>
  <c r="DF29" i="14"/>
  <c r="DE29" i="14"/>
  <c r="DH28" i="14"/>
  <c r="DG28" i="14"/>
  <c r="DI28" i="14" s="1"/>
  <c r="DF28" i="14"/>
  <c r="DE28" i="14"/>
  <c r="DH27" i="14"/>
  <c r="DG27" i="14"/>
  <c r="DF27" i="14"/>
  <c r="DE27" i="14"/>
  <c r="DH26" i="14"/>
  <c r="DG26" i="14"/>
  <c r="DF26" i="14"/>
  <c r="DE26" i="14"/>
  <c r="DH25" i="14"/>
  <c r="DG25" i="14"/>
  <c r="DI25" i="14" s="1"/>
  <c r="DF25" i="14"/>
  <c r="DE25" i="14"/>
  <c r="DH24" i="14"/>
  <c r="DG24" i="14"/>
  <c r="DF24" i="14"/>
  <c r="DE24" i="14"/>
  <c r="DH23" i="14"/>
  <c r="DG23" i="14"/>
  <c r="DF23" i="14"/>
  <c r="DE23" i="14"/>
  <c r="DH22" i="14"/>
  <c r="DG22" i="14"/>
  <c r="DF22" i="14"/>
  <c r="DE22" i="14"/>
  <c r="DH21" i="14"/>
  <c r="DG21" i="14"/>
  <c r="DF21" i="14"/>
  <c r="DE21" i="14"/>
  <c r="DH20" i="14"/>
  <c r="DG20" i="14"/>
  <c r="DF20" i="14"/>
  <c r="DE20" i="14"/>
  <c r="DH19" i="14"/>
  <c r="DG19" i="14"/>
  <c r="DF19" i="14"/>
  <c r="DE19" i="14"/>
  <c r="DH18" i="14"/>
  <c r="DG18" i="14"/>
  <c r="DF18" i="14"/>
  <c r="DE18" i="14"/>
  <c r="DH17" i="14"/>
  <c r="DG17" i="14"/>
  <c r="DF17" i="14"/>
  <c r="DE17" i="14"/>
  <c r="DH16" i="14"/>
  <c r="DG16" i="14"/>
  <c r="DF16" i="14"/>
  <c r="DE16" i="14"/>
  <c r="DH15" i="14"/>
  <c r="DG15" i="14"/>
  <c r="DF15" i="14"/>
  <c r="DE15" i="14"/>
  <c r="DH14" i="14"/>
  <c r="DG14" i="14"/>
  <c r="DF14" i="14"/>
  <c r="DE14" i="14"/>
  <c r="DH13" i="14"/>
  <c r="DG13" i="14"/>
  <c r="DF13" i="14"/>
  <c r="DE13" i="14"/>
  <c r="DH12" i="14"/>
  <c r="DG12" i="14"/>
  <c r="DF12" i="14"/>
  <c r="DE12" i="14"/>
  <c r="DH11" i="14"/>
  <c r="DG11" i="14"/>
  <c r="DF11" i="14"/>
  <c r="DE11" i="14"/>
  <c r="DH10" i="14"/>
  <c r="DG10" i="14"/>
  <c r="DF10" i="14"/>
  <c r="DE10" i="14"/>
  <c r="DH9" i="14"/>
  <c r="DG9" i="14"/>
  <c r="DF9" i="14"/>
  <c r="DE9" i="14"/>
  <c r="DH8" i="14"/>
  <c r="DG8" i="14"/>
  <c r="DF8" i="14"/>
  <c r="DE8" i="14"/>
  <c r="DH7" i="14"/>
  <c r="DG7" i="14"/>
  <c r="DF7" i="14"/>
  <c r="DE7" i="14"/>
  <c r="DH6" i="14"/>
  <c r="DG6" i="14"/>
  <c r="DF6" i="14"/>
  <c r="DE6" i="14"/>
  <c r="DH5" i="14"/>
  <c r="DG5" i="14"/>
  <c r="DF5" i="14"/>
  <c r="DE5" i="14"/>
  <c r="DH4" i="14"/>
  <c r="DH33" i="14" s="1"/>
  <c r="DG4" i="14"/>
  <c r="DF4" i="14"/>
  <c r="DE4" i="14"/>
  <c r="DE33" i="14" s="1"/>
  <c r="DC32" i="14"/>
  <c r="DB32" i="14"/>
  <c r="DA32" i="14"/>
  <c r="CZ32" i="14"/>
  <c r="DC31" i="14"/>
  <c r="DB31" i="14"/>
  <c r="DA31" i="14"/>
  <c r="CZ31" i="14"/>
  <c r="DC30" i="14"/>
  <c r="DB30" i="14"/>
  <c r="DD30" i="14" s="1"/>
  <c r="DA30" i="14"/>
  <c r="CZ30" i="14"/>
  <c r="DC29" i="14"/>
  <c r="DB29" i="14"/>
  <c r="DA29" i="14"/>
  <c r="CZ29" i="14"/>
  <c r="DC28" i="14"/>
  <c r="DB28" i="14"/>
  <c r="DA28" i="14"/>
  <c r="CZ28" i="14"/>
  <c r="DC27" i="14"/>
  <c r="DB27" i="14"/>
  <c r="DD27" i="14" s="1"/>
  <c r="DA27" i="14"/>
  <c r="CZ27" i="14"/>
  <c r="DC26" i="14"/>
  <c r="DB26" i="14"/>
  <c r="DA26" i="14"/>
  <c r="CZ26" i="14"/>
  <c r="DC25" i="14"/>
  <c r="DB25" i="14"/>
  <c r="DA25" i="14"/>
  <c r="CZ25" i="14"/>
  <c r="DC24" i="14"/>
  <c r="DB24" i="14"/>
  <c r="DA24" i="14"/>
  <c r="CZ24" i="14"/>
  <c r="DC23" i="14"/>
  <c r="DB23" i="14"/>
  <c r="DA23" i="14"/>
  <c r="CZ23" i="14"/>
  <c r="DC22" i="14"/>
  <c r="DB22" i="14"/>
  <c r="DA22" i="14"/>
  <c r="CZ22" i="14"/>
  <c r="DC21" i="14"/>
  <c r="DB21" i="14"/>
  <c r="DA21" i="14"/>
  <c r="CZ21" i="14"/>
  <c r="DC20" i="14"/>
  <c r="DB20" i="14"/>
  <c r="DA20" i="14"/>
  <c r="CZ20" i="14"/>
  <c r="DC19" i="14"/>
  <c r="DB19" i="14"/>
  <c r="DA19" i="14"/>
  <c r="CZ19" i="14"/>
  <c r="DC18" i="14"/>
  <c r="DB18" i="14"/>
  <c r="DA18" i="14"/>
  <c r="CZ18" i="14"/>
  <c r="DC17" i="14"/>
  <c r="DB17" i="14"/>
  <c r="DA17" i="14"/>
  <c r="CZ17" i="14"/>
  <c r="DC16" i="14"/>
  <c r="DB16" i="14"/>
  <c r="DA16" i="14"/>
  <c r="CZ16" i="14"/>
  <c r="DC15" i="14"/>
  <c r="DB15" i="14"/>
  <c r="DA15" i="14"/>
  <c r="CZ15" i="14"/>
  <c r="DC14" i="14"/>
  <c r="DB14" i="14"/>
  <c r="DA14" i="14"/>
  <c r="CZ14" i="14"/>
  <c r="DC13" i="14"/>
  <c r="DB13" i="14"/>
  <c r="DA13" i="14"/>
  <c r="CZ13" i="14"/>
  <c r="DC12" i="14"/>
  <c r="DB12" i="14"/>
  <c r="DA12" i="14"/>
  <c r="CZ12" i="14"/>
  <c r="DC11" i="14"/>
  <c r="DB11" i="14"/>
  <c r="DA11" i="14"/>
  <c r="CZ11" i="14"/>
  <c r="DC10" i="14"/>
  <c r="DB10" i="14"/>
  <c r="DA10" i="14"/>
  <c r="CZ10" i="14"/>
  <c r="DC9" i="14"/>
  <c r="DB9" i="14"/>
  <c r="DA9" i="14"/>
  <c r="CZ9" i="14"/>
  <c r="DC8" i="14"/>
  <c r="DB8" i="14"/>
  <c r="DA8" i="14"/>
  <c r="CZ8" i="14"/>
  <c r="DC7" i="14"/>
  <c r="DB7" i="14"/>
  <c r="DA7" i="14"/>
  <c r="CZ7" i="14"/>
  <c r="DC6" i="14"/>
  <c r="DB6" i="14"/>
  <c r="DA6" i="14"/>
  <c r="CZ6" i="14"/>
  <c r="DC5" i="14"/>
  <c r="DB5" i="14"/>
  <c r="DA5" i="14"/>
  <c r="CZ5" i="14"/>
  <c r="DC4" i="14"/>
  <c r="DB4" i="14"/>
  <c r="DA4" i="14"/>
  <c r="CZ4" i="14"/>
  <c r="CX32" i="14"/>
  <c r="CW32" i="14"/>
  <c r="CV32" i="14"/>
  <c r="CU32" i="14"/>
  <c r="CX31" i="14"/>
  <c r="CW31" i="14"/>
  <c r="CV31" i="14"/>
  <c r="CU31" i="14"/>
  <c r="CX30" i="14"/>
  <c r="CW30" i="14"/>
  <c r="CV30" i="14"/>
  <c r="CU30" i="14"/>
  <c r="CX29" i="14"/>
  <c r="CW29" i="14"/>
  <c r="CV29" i="14"/>
  <c r="CU29" i="14"/>
  <c r="CX28" i="14"/>
  <c r="CW28" i="14"/>
  <c r="CV28" i="14"/>
  <c r="CU28" i="14"/>
  <c r="CX27" i="14"/>
  <c r="CW27" i="14"/>
  <c r="CV27" i="14"/>
  <c r="CU27" i="14"/>
  <c r="CX26" i="14"/>
  <c r="CW26" i="14"/>
  <c r="CV26" i="14"/>
  <c r="CU26" i="14"/>
  <c r="CX25" i="14"/>
  <c r="CW25" i="14"/>
  <c r="CV25" i="14"/>
  <c r="CU25" i="14"/>
  <c r="CX24" i="14"/>
  <c r="CW24" i="14"/>
  <c r="CV24" i="14"/>
  <c r="CU24" i="14"/>
  <c r="CX23" i="14"/>
  <c r="CW23" i="14"/>
  <c r="CV23" i="14"/>
  <c r="CU23" i="14"/>
  <c r="CX22" i="14"/>
  <c r="CW22" i="14"/>
  <c r="CV22" i="14"/>
  <c r="CU22" i="14"/>
  <c r="CX21" i="14"/>
  <c r="CW21" i="14"/>
  <c r="CV21" i="14"/>
  <c r="CU21" i="14"/>
  <c r="CX20" i="14"/>
  <c r="CW20" i="14"/>
  <c r="CV20" i="14"/>
  <c r="CU20" i="14"/>
  <c r="CX19" i="14"/>
  <c r="CW19" i="14"/>
  <c r="CV19" i="14"/>
  <c r="CU19" i="14"/>
  <c r="CX18" i="14"/>
  <c r="CW18" i="14"/>
  <c r="CV18" i="14"/>
  <c r="CU18" i="14"/>
  <c r="CX17" i="14"/>
  <c r="CW17" i="14"/>
  <c r="CV17" i="14"/>
  <c r="CU17" i="14"/>
  <c r="CX16" i="14"/>
  <c r="CW16" i="14"/>
  <c r="CV16" i="14"/>
  <c r="CU16" i="14"/>
  <c r="CX15" i="14"/>
  <c r="CW15" i="14"/>
  <c r="CV15" i="14"/>
  <c r="CU15" i="14"/>
  <c r="CX14" i="14"/>
  <c r="CW14" i="14"/>
  <c r="CV14" i="14"/>
  <c r="CU14" i="14"/>
  <c r="CX13" i="14"/>
  <c r="CW13" i="14"/>
  <c r="CV13" i="14"/>
  <c r="CU13" i="14"/>
  <c r="CX12" i="14"/>
  <c r="CW12" i="14"/>
  <c r="CV12" i="14"/>
  <c r="CU12" i="14"/>
  <c r="CX11" i="14"/>
  <c r="CW11" i="14"/>
  <c r="CV11" i="14"/>
  <c r="CU11" i="14"/>
  <c r="CX10" i="14"/>
  <c r="CW10" i="14"/>
  <c r="CV10" i="14"/>
  <c r="CU10" i="14"/>
  <c r="CX9" i="14"/>
  <c r="CW9" i="14"/>
  <c r="CV9" i="14"/>
  <c r="CU9" i="14"/>
  <c r="CX8" i="14"/>
  <c r="CW8" i="14"/>
  <c r="CV8" i="14"/>
  <c r="CU8" i="14"/>
  <c r="CX7" i="14"/>
  <c r="CW7" i="14"/>
  <c r="CV7" i="14"/>
  <c r="CU7" i="14"/>
  <c r="CX6" i="14"/>
  <c r="CW6" i="14"/>
  <c r="CV6" i="14"/>
  <c r="CU6" i="14"/>
  <c r="CX5" i="14"/>
  <c r="CW5" i="14"/>
  <c r="CV5" i="14"/>
  <c r="CU5" i="14"/>
  <c r="CX4" i="14"/>
  <c r="CW4" i="14"/>
  <c r="CV4" i="14"/>
  <c r="CV33" i="14" s="1"/>
  <c r="CU4" i="14"/>
  <c r="CS32" i="14"/>
  <c r="CR32" i="14"/>
  <c r="CQ32" i="14"/>
  <c r="CP32" i="14"/>
  <c r="CS31" i="14"/>
  <c r="CR31" i="14"/>
  <c r="CT31" i="14" s="1"/>
  <c r="CQ31" i="14"/>
  <c r="CP31" i="14"/>
  <c r="CS30" i="14"/>
  <c r="CR30" i="14"/>
  <c r="CQ30" i="14"/>
  <c r="CP30" i="14"/>
  <c r="CS29" i="14"/>
  <c r="CR29" i="14"/>
  <c r="CQ29" i="14"/>
  <c r="CP29" i="14"/>
  <c r="CS28" i="14"/>
  <c r="CR28" i="14"/>
  <c r="CT28" i="14" s="1"/>
  <c r="CQ28" i="14"/>
  <c r="CP28" i="14"/>
  <c r="CS27" i="14"/>
  <c r="CR27" i="14"/>
  <c r="CQ27" i="14"/>
  <c r="CP27" i="14"/>
  <c r="CS26" i="14"/>
  <c r="CR26" i="14"/>
  <c r="CQ26" i="14"/>
  <c r="CP26" i="14"/>
  <c r="CS25" i="14"/>
  <c r="CR25" i="14"/>
  <c r="CT25" i="14" s="1"/>
  <c r="CQ25" i="14"/>
  <c r="CP25" i="14"/>
  <c r="CS24" i="14"/>
  <c r="CR24" i="14"/>
  <c r="CQ24" i="14"/>
  <c r="CP24" i="14"/>
  <c r="CS23" i="14"/>
  <c r="CR23" i="14"/>
  <c r="CQ23" i="14"/>
  <c r="CP23" i="14"/>
  <c r="CS22" i="14"/>
  <c r="CR22" i="14"/>
  <c r="CQ22" i="14"/>
  <c r="CP22" i="14"/>
  <c r="CS21" i="14"/>
  <c r="CR21" i="14"/>
  <c r="CQ21" i="14"/>
  <c r="CP21" i="14"/>
  <c r="CS20" i="14"/>
  <c r="CR20" i="14"/>
  <c r="CQ20" i="14"/>
  <c r="CP20" i="14"/>
  <c r="CS19" i="14"/>
  <c r="CR19" i="14"/>
  <c r="CQ19" i="14"/>
  <c r="CP19" i="14"/>
  <c r="CS18" i="14"/>
  <c r="CR18" i="14"/>
  <c r="CQ18" i="14"/>
  <c r="CP18" i="14"/>
  <c r="CS17" i="14"/>
  <c r="CR17" i="14"/>
  <c r="CQ17" i="14"/>
  <c r="CP17" i="14"/>
  <c r="CS16" i="14"/>
  <c r="CR16" i="14"/>
  <c r="CQ16" i="14"/>
  <c r="CP16" i="14"/>
  <c r="CS15" i="14"/>
  <c r="CR15" i="14"/>
  <c r="CQ15" i="14"/>
  <c r="CP15" i="14"/>
  <c r="CS14" i="14"/>
  <c r="CR14" i="14"/>
  <c r="CQ14" i="14"/>
  <c r="CP14" i="14"/>
  <c r="CS13" i="14"/>
  <c r="CR13" i="14"/>
  <c r="CQ13" i="14"/>
  <c r="CP13" i="14"/>
  <c r="CS12" i="14"/>
  <c r="CR12" i="14"/>
  <c r="CQ12" i="14"/>
  <c r="CP12" i="14"/>
  <c r="CS11" i="14"/>
  <c r="CR11" i="14"/>
  <c r="CQ11" i="14"/>
  <c r="CP11" i="14"/>
  <c r="CS10" i="14"/>
  <c r="CR10" i="14"/>
  <c r="CQ10" i="14"/>
  <c r="CP10" i="14"/>
  <c r="CS9" i="14"/>
  <c r="CR9" i="14"/>
  <c r="CQ9" i="14"/>
  <c r="CP9" i="14"/>
  <c r="CS8" i="14"/>
  <c r="CR8" i="14"/>
  <c r="CQ8" i="14"/>
  <c r="CP8" i="14"/>
  <c r="CS7" i="14"/>
  <c r="CR7" i="14"/>
  <c r="CQ7" i="14"/>
  <c r="CP7" i="14"/>
  <c r="CS6" i="14"/>
  <c r="CR6" i="14"/>
  <c r="CQ6" i="14"/>
  <c r="CP6" i="14"/>
  <c r="CS5" i="14"/>
  <c r="CR5" i="14"/>
  <c r="CQ5" i="14"/>
  <c r="CP5" i="14"/>
  <c r="CS4" i="14"/>
  <c r="CR4" i="14"/>
  <c r="CR33" i="14" s="1"/>
  <c r="CQ4" i="14"/>
  <c r="CP4" i="14"/>
  <c r="CN32" i="14"/>
  <c r="CM32" i="14"/>
  <c r="CL32" i="14"/>
  <c r="CK32" i="14"/>
  <c r="CN31" i="14"/>
  <c r="CM31" i="14"/>
  <c r="CL31" i="14"/>
  <c r="CK31" i="14"/>
  <c r="CN30" i="14"/>
  <c r="CM30" i="14"/>
  <c r="CO30" i="14" s="1"/>
  <c r="CL30" i="14"/>
  <c r="CK30" i="14"/>
  <c r="CN29" i="14"/>
  <c r="CM29" i="14"/>
  <c r="CL29" i="14"/>
  <c r="CK29" i="14"/>
  <c r="CN28" i="14"/>
  <c r="CM28" i="14"/>
  <c r="CL28" i="14"/>
  <c r="CK28" i="14"/>
  <c r="CN27" i="14"/>
  <c r="CM27" i="14"/>
  <c r="CO27" i="14" s="1"/>
  <c r="CL27" i="14"/>
  <c r="CK27" i="14"/>
  <c r="CN26" i="14"/>
  <c r="CM26" i="14"/>
  <c r="CL26" i="14"/>
  <c r="CK26" i="14"/>
  <c r="CN25" i="14"/>
  <c r="CM25" i="14"/>
  <c r="CL25" i="14"/>
  <c r="CK25" i="14"/>
  <c r="CN24" i="14"/>
  <c r="CM24" i="14"/>
  <c r="CL24" i="14"/>
  <c r="CK24" i="14"/>
  <c r="CN23" i="14"/>
  <c r="CM23" i="14"/>
  <c r="CL23" i="14"/>
  <c r="CK23" i="14"/>
  <c r="CN22" i="14"/>
  <c r="CM22" i="14"/>
  <c r="CL22" i="14"/>
  <c r="CK22" i="14"/>
  <c r="CN21" i="14"/>
  <c r="CM21" i="14"/>
  <c r="CL21" i="14"/>
  <c r="CK21" i="14"/>
  <c r="CN20" i="14"/>
  <c r="CM20" i="14"/>
  <c r="CL20" i="14"/>
  <c r="CK20" i="14"/>
  <c r="CN19" i="14"/>
  <c r="CM19" i="14"/>
  <c r="CL19" i="14"/>
  <c r="CK19" i="14"/>
  <c r="CN18" i="14"/>
  <c r="CM18" i="14"/>
  <c r="CL18" i="14"/>
  <c r="CK18" i="14"/>
  <c r="CN17" i="14"/>
  <c r="CM17" i="14"/>
  <c r="CL17" i="14"/>
  <c r="CK17" i="14"/>
  <c r="CN16" i="14"/>
  <c r="CM16" i="14"/>
  <c r="CL16" i="14"/>
  <c r="CK16" i="14"/>
  <c r="CN15" i="14"/>
  <c r="CM15" i="14"/>
  <c r="CL15" i="14"/>
  <c r="CK15" i="14"/>
  <c r="CN14" i="14"/>
  <c r="CM14" i="14"/>
  <c r="CL14" i="14"/>
  <c r="CK14" i="14"/>
  <c r="CN13" i="14"/>
  <c r="CM13" i="14"/>
  <c r="CL13" i="14"/>
  <c r="CK13" i="14"/>
  <c r="CN12" i="14"/>
  <c r="CM12" i="14"/>
  <c r="CL12" i="14"/>
  <c r="CK12" i="14"/>
  <c r="CN11" i="14"/>
  <c r="CM11" i="14"/>
  <c r="CL11" i="14"/>
  <c r="CK11" i="14"/>
  <c r="CN10" i="14"/>
  <c r="CM10" i="14"/>
  <c r="CL10" i="14"/>
  <c r="CK10" i="14"/>
  <c r="CN9" i="14"/>
  <c r="CM9" i="14"/>
  <c r="CL9" i="14"/>
  <c r="CK9" i="14"/>
  <c r="CN8" i="14"/>
  <c r="CM8" i="14"/>
  <c r="CL8" i="14"/>
  <c r="CK8" i="14"/>
  <c r="CN7" i="14"/>
  <c r="CM7" i="14"/>
  <c r="CL7" i="14"/>
  <c r="CK7" i="14"/>
  <c r="CN6" i="14"/>
  <c r="CM6" i="14"/>
  <c r="CL6" i="14"/>
  <c r="CK6" i="14"/>
  <c r="CN5" i="14"/>
  <c r="CM5" i="14"/>
  <c r="CL5" i="14"/>
  <c r="CK5" i="14"/>
  <c r="CN4" i="14"/>
  <c r="CM4" i="14"/>
  <c r="CL4" i="14"/>
  <c r="CK4" i="14"/>
  <c r="BO32" i="14"/>
  <c r="BN32" i="14"/>
  <c r="BP32" i="14" s="1"/>
  <c r="BL32" i="14"/>
  <c r="BO31" i="14"/>
  <c r="BN31" i="14"/>
  <c r="BL31" i="14"/>
  <c r="BO30" i="14"/>
  <c r="BN30" i="14"/>
  <c r="BL30" i="14"/>
  <c r="BO29" i="14"/>
  <c r="BN29" i="14"/>
  <c r="BL29" i="14"/>
  <c r="BO28" i="14"/>
  <c r="BN28" i="14"/>
  <c r="BP28" i="14" s="1"/>
  <c r="BL28" i="14"/>
  <c r="BO27" i="14"/>
  <c r="BP27" i="14" s="1"/>
  <c r="BN27" i="14"/>
  <c r="BL27" i="14"/>
  <c r="BO26" i="14"/>
  <c r="BN26" i="14"/>
  <c r="BL26" i="14"/>
  <c r="BO25" i="14"/>
  <c r="BN25" i="14"/>
  <c r="BL25" i="14"/>
  <c r="BL24" i="14"/>
  <c r="BL23" i="14"/>
  <c r="BL22" i="14"/>
  <c r="BL21" i="14"/>
  <c r="BL20" i="14"/>
  <c r="BL19" i="14"/>
  <c r="BL18" i="14"/>
  <c r="BL17" i="14"/>
  <c r="BL16" i="14"/>
  <c r="BL15" i="14"/>
  <c r="BL14" i="14"/>
  <c r="BL13" i="14"/>
  <c r="BL12" i="14"/>
  <c r="BT32" i="14"/>
  <c r="BU32" i="14" s="1"/>
  <c r="BS32" i="14"/>
  <c r="BR32" i="14"/>
  <c r="BQ32" i="14"/>
  <c r="BT31" i="14"/>
  <c r="BS31" i="14"/>
  <c r="BR31" i="14"/>
  <c r="BQ31" i="14"/>
  <c r="BT30" i="14"/>
  <c r="BS30" i="14"/>
  <c r="BR30" i="14"/>
  <c r="BQ30" i="14"/>
  <c r="BU30" i="14" s="1"/>
  <c r="BT29" i="14"/>
  <c r="BU29" i="14" s="1"/>
  <c r="BS29" i="14"/>
  <c r="BR29" i="14"/>
  <c r="BQ29" i="14"/>
  <c r="BT28" i="14"/>
  <c r="BS28" i="14"/>
  <c r="BR28" i="14"/>
  <c r="BQ28" i="14"/>
  <c r="BT27" i="14"/>
  <c r="BS27" i="14"/>
  <c r="BR27" i="14"/>
  <c r="BQ27" i="14"/>
  <c r="BU27" i="14" s="1"/>
  <c r="BT26" i="14"/>
  <c r="BU26" i="14" s="1"/>
  <c r="BS26" i="14"/>
  <c r="BR26" i="14"/>
  <c r="BQ26" i="14"/>
  <c r="BT25" i="14"/>
  <c r="BS25" i="14"/>
  <c r="BR25" i="14"/>
  <c r="BQ25" i="14"/>
  <c r="BT24" i="14"/>
  <c r="BS24" i="14"/>
  <c r="BR24" i="14"/>
  <c r="BT23" i="14"/>
  <c r="BS23" i="14"/>
  <c r="BR23" i="14"/>
  <c r="BQ23" i="14"/>
  <c r="BT22" i="14"/>
  <c r="BS22" i="14"/>
  <c r="BR22" i="14"/>
  <c r="BQ22" i="14"/>
  <c r="BT21" i="14"/>
  <c r="BS21" i="14"/>
  <c r="BR21" i="14"/>
  <c r="BQ21" i="14"/>
  <c r="BT20" i="14"/>
  <c r="BS20" i="14"/>
  <c r="BR20" i="14"/>
  <c r="BQ20" i="14"/>
  <c r="BT19" i="14"/>
  <c r="BS19" i="14"/>
  <c r="BR19" i="14"/>
  <c r="BT18" i="14"/>
  <c r="BS18" i="14"/>
  <c r="BR18" i="14"/>
  <c r="BT17" i="14"/>
  <c r="BS17" i="14"/>
  <c r="BR17" i="14"/>
  <c r="BT16" i="14"/>
  <c r="BS16" i="14"/>
  <c r="BR16" i="14"/>
  <c r="BT15" i="14"/>
  <c r="BS15" i="14"/>
  <c r="BR15" i="14"/>
  <c r="BT14" i="14"/>
  <c r="BS14" i="14"/>
  <c r="BR14" i="14"/>
  <c r="BQ14" i="14"/>
  <c r="BT13" i="14"/>
  <c r="BS13" i="14"/>
  <c r="BR13" i="14"/>
  <c r="BQ13" i="14"/>
  <c r="BT12" i="14"/>
  <c r="BS12" i="14"/>
  <c r="BR12" i="14"/>
  <c r="BT11" i="14"/>
  <c r="BS11" i="14"/>
  <c r="BR11" i="14"/>
  <c r="BQ11" i="14"/>
  <c r="BT10" i="14"/>
  <c r="BS10" i="14"/>
  <c r="BR10" i="14"/>
  <c r="BQ10" i="14"/>
  <c r="BT9" i="14"/>
  <c r="BS9" i="14"/>
  <c r="BR9" i="14"/>
  <c r="BQ9" i="14"/>
  <c r="BT8" i="14"/>
  <c r="BS8" i="14"/>
  <c r="BT7" i="14"/>
  <c r="BS7" i="14"/>
  <c r="BR7" i="14"/>
  <c r="BQ7" i="14"/>
  <c r="BT6" i="14"/>
  <c r="BS6" i="14"/>
  <c r="BR6" i="14"/>
  <c r="BQ6" i="14"/>
  <c r="BT5" i="14"/>
  <c r="BS5" i="14"/>
  <c r="BR5" i="14"/>
  <c r="BQ5" i="14"/>
  <c r="BT4" i="14"/>
  <c r="BS4" i="14"/>
  <c r="BR4" i="14"/>
  <c r="BQ4" i="14"/>
  <c r="BY32" i="14"/>
  <c r="BX32" i="14"/>
  <c r="BZ32" i="14" s="1"/>
  <c r="BW32" i="14"/>
  <c r="BV32" i="14"/>
  <c r="BY31" i="14"/>
  <c r="BX31" i="14"/>
  <c r="BW31" i="14"/>
  <c r="BV31" i="14"/>
  <c r="BY30" i="14"/>
  <c r="BX30" i="14"/>
  <c r="BW30" i="14"/>
  <c r="BV30" i="14"/>
  <c r="BY29" i="14"/>
  <c r="BX29" i="14"/>
  <c r="BZ29" i="14" s="1"/>
  <c r="BW29" i="14"/>
  <c r="BV29" i="14"/>
  <c r="BY28" i="14"/>
  <c r="BX28" i="14"/>
  <c r="BW28" i="14"/>
  <c r="BV28" i="14"/>
  <c r="BY27" i="14"/>
  <c r="BX27" i="14"/>
  <c r="BW27" i="14"/>
  <c r="BV27" i="14"/>
  <c r="BY26" i="14"/>
  <c r="BX26" i="14"/>
  <c r="BZ26" i="14" s="1"/>
  <c r="BW26" i="14"/>
  <c r="BV26" i="14"/>
  <c r="BY25" i="14"/>
  <c r="BX25" i="14"/>
  <c r="BW25" i="14"/>
  <c r="BV25" i="14"/>
  <c r="BY24" i="14"/>
  <c r="BX24" i="14"/>
  <c r="BW24" i="14"/>
  <c r="BV24" i="14"/>
  <c r="BY23" i="14"/>
  <c r="BX23" i="14"/>
  <c r="BW23" i="14"/>
  <c r="BV23" i="14"/>
  <c r="BY22" i="14"/>
  <c r="BX22" i="14"/>
  <c r="BW22" i="14"/>
  <c r="BV22" i="14"/>
  <c r="BY21" i="14"/>
  <c r="BX21" i="14"/>
  <c r="BW21" i="14"/>
  <c r="BV21" i="14"/>
  <c r="BY20" i="14"/>
  <c r="BX20" i="14"/>
  <c r="BW20" i="14"/>
  <c r="BV20" i="14"/>
  <c r="BY19" i="14"/>
  <c r="BX19" i="14"/>
  <c r="BW19" i="14"/>
  <c r="BV19" i="14"/>
  <c r="BY18" i="14"/>
  <c r="BX18" i="14"/>
  <c r="BW18" i="14"/>
  <c r="BV18" i="14"/>
  <c r="BY17" i="14"/>
  <c r="BX17" i="14"/>
  <c r="BW17" i="14"/>
  <c r="BV17" i="14"/>
  <c r="BY16" i="14"/>
  <c r="BX16" i="14"/>
  <c r="BW16" i="14"/>
  <c r="BV16" i="14"/>
  <c r="BX15" i="14"/>
  <c r="BW15" i="14"/>
  <c r="BV15" i="14"/>
  <c r="BY14" i="14"/>
  <c r="BX14" i="14"/>
  <c r="BW14" i="14"/>
  <c r="BV14" i="14"/>
  <c r="BY13" i="14"/>
  <c r="BX13" i="14"/>
  <c r="BV13" i="14"/>
  <c r="BY12" i="14"/>
  <c r="BW12" i="14"/>
  <c r="BV12" i="14"/>
  <c r="BY11" i="14"/>
  <c r="BX11" i="14"/>
  <c r="BW11" i="14"/>
  <c r="BV11" i="14"/>
  <c r="BY10" i="14"/>
  <c r="BX10" i="14"/>
  <c r="BW10" i="14"/>
  <c r="BV10" i="14"/>
  <c r="BY9" i="14"/>
  <c r="BX9" i="14"/>
  <c r="BW9" i="14"/>
  <c r="BV9" i="14"/>
  <c r="BY8" i="14"/>
  <c r="BX8" i="14"/>
  <c r="BW8" i="14"/>
  <c r="BV8" i="14"/>
  <c r="BY7" i="14"/>
  <c r="BX7" i="14"/>
  <c r="BW7" i="14"/>
  <c r="BV7" i="14"/>
  <c r="BY6" i="14"/>
  <c r="BX6" i="14"/>
  <c r="BW6" i="14"/>
  <c r="BV6" i="14"/>
  <c r="BY5" i="14"/>
  <c r="BX5" i="14"/>
  <c r="BW5" i="14"/>
  <c r="BV5" i="14"/>
  <c r="BY4" i="14"/>
  <c r="BX4" i="14"/>
  <c r="BW4" i="14"/>
  <c r="BV4" i="14"/>
  <c r="CD32" i="14"/>
  <c r="CC32" i="14"/>
  <c r="CB32" i="14"/>
  <c r="CA32" i="14"/>
  <c r="CD31" i="14"/>
  <c r="CC31" i="14"/>
  <c r="CE31" i="14" s="1"/>
  <c r="CB31" i="14"/>
  <c r="CA31" i="14"/>
  <c r="CD30" i="14"/>
  <c r="CC30" i="14"/>
  <c r="CB30" i="14"/>
  <c r="CA30" i="14"/>
  <c r="CD29" i="14"/>
  <c r="CC29" i="14"/>
  <c r="CB29" i="14"/>
  <c r="CA29" i="14"/>
  <c r="CD28" i="14"/>
  <c r="CC28" i="14"/>
  <c r="CB28" i="14"/>
  <c r="CA28" i="14"/>
  <c r="CE28" i="14" s="1"/>
  <c r="CD27" i="14"/>
  <c r="CC27" i="14"/>
  <c r="CB27" i="14"/>
  <c r="CA27" i="14"/>
  <c r="CD26" i="14"/>
  <c r="CC26" i="14"/>
  <c r="CB26" i="14"/>
  <c r="CA26" i="14"/>
  <c r="CD25" i="14"/>
  <c r="CC25" i="14"/>
  <c r="CE25" i="14" s="1"/>
  <c r="CB25" i="14"/>
  <c r="CA25" i="14"/>
  <c r="CD24" i="14"/>
  <c r="CC24" i="14"/>
  <c r="CB24" i="14"/>
  <c r="CA24" i="14"/>
  <c r="CD23" i="14"/>
  <c r="CC23" i="14"/>
  <c r="CB23" i="14"/>
  <c r="CA23" i="14"/>
  <c r="CD22" i="14"/>
  <c r="CC22" i="14"/>
  <c r="CB22" i="14"/>
  <c r="CA22" i="14"/>
  <c r="CD21" i="14"/>
  <c r="CC21" i="14"/>
  <c r="CB21" i="14"/>
  <c r="CA21" i="14"/>
  <c r="CD20" i="14"/>
  <c r="CC20" i="14"/>
  <c r="CB20" i="14"/>
  <c r="CA20" i="14"/>
  <c r="CD19" i="14"/>
  <c r="CC19" i="14"/>
  <c r="CB19" i="14"/>
  <c r="CA19" i="14"/>
  <c r="CD18" i="14"/>
  <c r="CC18" i="14"/>
  <c r="CB18" i="14"/>
  <c r="CA18" i="14"/>
  <c r="CD17" i="14"/>
  <c r="CC17" i="14"/>
  <c r="CB17" i="14"/>
  <c r="CA17" i="14"/>
  <c r="CD16" i="14"/>
  <c r="CC16" i="14"/>
  <c r="CB16" i="14"/>
  <c r="CA16" i="14"/>
  <c r="CD15" i="14"/>
  <c r="CC15" i="14"/>
  <c r="CB15" i="14"/>
  <c r="CA15" i="14"/>
  <c r="CD14" i="14"/>
  <c r="CC14" i="14"/>
  <c r="CB14" i="14"/>
  <c r="CA14" i="14"/>
  <c r="CD13" i="14"/>
  <c r="CC13" i="14"/>
  <c r="CB13" i="14"/>
  <c r="CA13" i="14"/>
  <c r="CD12" i="14"/>
  <c r="CC12" i="14"/>
  <c r="CB12" i="14"/>
  <c r="CA12" i="14"/>
  <c r="CD11" i="14"/>
  <c r="CC11" i="14"/>
  <c r="CB11" i="14"/>
  <c r="CA11" i="14"/>
  <c r="CD10" i="14"/>
  <c r="CC10" i="14"/>
  <c r="CB10" i="14"/>
  <c r="CA10" i="14"/>
  <c r="CD9" i="14"/>
  <c r="CC9" i="14"/>
  <c r="CB9" i="14"/>
  <c r="CA9" i="14"/>
  <c r="CD8" i="14"/>
  <c r="CC8" i="14"/>
  <c r="CB8" i="14"/>
  <c r="CA8" i="14"/>
  <c r="CD7" i="14"/>
  <c r="CC7" i="14"/>
  <c r="CB7" i="14"/>
  <c r="CA7" i="14"/>
  <c r="CD6" i="14"/>
  <c r="CC6" i="14"/>
  <c r="CB6" i="14"/>
  <c r="CA6" i="14"/>
  <c r="CD5" i="14"/>
  <c r="CC5" i="14"/>
  <c r="CB5" i="14"/>
  <c r="CA5" i="14"/>
  <c r="CD4" i="14"/>
  <c r="CC4" i="14"/>
  <c r="CB4" i="14"/>
  <c r="CA4" i="14"/>
  <c r="CI13" i="14"/>
  <c r="CI14" i="14"/>
  <c r="CI15" i="14"/>
  <c r="CI16" i="14"/>
  <c r="CI17" i="14"/>
  <c r="CI18" i="14"/>
  <c r="CI19" i="14"/>
  <c r="CI20" i="14"/>
  <c r="CI21" i="14"/>
  <c r="CI22" i="14"/>
  <c r="CI23" i="14"/>
  <c r="CI24" i="14"/>
  <c r="CI25" i="14"/>
  <c r="CI26" i="14"/>
  <c r="CI27" i="14"/>
  <c r="CI28" i="14"/>
  <c r="CI29" i="14"/>
  <c r="CI30" i="14"/>
  <c r="CI31" i="14"/>
  <c r="CI32" i="14"/>
  <c r="CI5" i="14"/>
  <c r="CI6" i="14"/>
  <c r="CI7" i="14"/>
  <c r="CI8" i="14"/>
  <c r="CI9" i="14"/>
  <c r="CI10" i="14"/>
  <c r="CI11" i="14"/>
  <c r="CI12" i="14"/>
  <c r="CH5" i="14"/>
  <c r="CH6" i="14"/>
  <c r="CH7" i="14"/>
  <c r="CH8" i="14"/>
  <c r="CH9" i="14"/>
  <c r="CH10" i="14"/>
  <c r="CH11" i="14"/>
  <c r="CH12" i="14"/>
  <c r="CH13" i="14"/>
  <c r="CH14" i="14"/>
  <c r="CH15" i="14"/>
  <c r="CH16" i="14"/>
  <c r="CH17" i="14"/>
  <c r="CH18" i="14"/>
  <c r="CH19" i="14"/>
  <c r="CH20" i="14"/>
  <c r="CH21" i="14"/>
  <c r="CH22" i="14"/>
  <c r="CH23" i="14"/>
  <c r="CH24" i="14"/>
  <c r="CH25" i="14"/>
  <c r="CH26" i="14"/>
  <c r="CH27" i="14"/>
  <c r="CH28" i="14"/>
  <c r="CH29" i="14"/>
  <c r="CH30" i="14"/>
  <c r="CH31" i="14"/>
  <c r="CH32" i="14"/>
  <c r="CI4" i="14"/>
  <c r="CH4" i="14"/>
  <c r="CH33" i="14" s="1"/>
  <c r="CF5" i="14"/>
  <c r="CG5" i="14"/>
  <c r="CF6" i="14"/>
  <c r="CG6" i="14"/>
  <c r="CF7" i="14"/>
  <c r="CG7" i="14"/>
  <c r="CF8" i="14"/>
  <c r="CG8" i="14"/>
  <c r="CF9" i="14"/>
  <c r="CG9" i="14"/>
  <c r="CF10" i="14"/>
  <c r="CG10" i="14"/>
  <c r="CF11" i="14"/>
  <c r="CG11" i="14"/>
  <c r="CF12" i="14"/>
  <c r="CG12" i="14"/>
  <c r="CF13" i="14"/>
  <c r="CG13" i="14"/>
  <c r="CF14" i="14"/>
  <c r="CG14" i="14"/>
  <c r="CF15" i="14"/>
  <c r="CG15" i="14"/>
  <c r="CF16" i="14"/>
  <c r="CG16" i="14"/>
  <c r="CF17" i="14"/>
  <c r="CG17" i="14"/>
  <c r="CF18" i="14"/>
  <c r="CG18" i="14"/>
  <c r="CF19" i="14"/>
  <c r="CG19" i="14"/>
  <c r="CF20" i="14"/>
  <c r="CG20" i="14"/>
  <c r="CF21" i="14"/>
  <c r="CG21" i="14"/>
  <c r="CF22" i="14"/>
  <c r="CG22" i="14"/>
  <c r="CF23" i="14"/>
  <c r="CG23" i="14"/>
  <c r="CF24" i="14"/>
  <c r="CG24" i="14"/>
  <c r="CF25" i="14"/>
  <c r="CG25" i="14"/>
  <c r="CF26" i="14"/>
  <c r="CG26" i="14"/>
  <c r="CF27" i="14"/>
  <c r="CG27" i="14"/>
  <c r="CF28" i="14"/>
  <c r="CG28" i="14"/>
  <c r="CF29" i="14"/>
  <c r="CG29" i="14"/>
  <c r="CF30" i="14"/>
  <c r="CG30" i="14"/>
  <c r="CF31" i="14"/>
  <c r="CG31" i="14"/>
  <c r="CF32" i="14"/>
  <c r="CG32" i="14"/>
  <c r="CG4" i="14"/>
  <c r="CF4" i="14"/>
  <c r="C32" i="1"/>
  <c r="C35" i="1" s="1"/>
  <c r="D32" i="1"/>
  <c r="D35" i="1" s="1"/>
  <c r="E32" i="1"/>
  <c r="E35" i="1" s="1"/>
  <c r="F32" i="1"/>
  <c r="F35" i="1" s="1"/>
  <c r="G32" i="1"/>
  <c r="G35" i="1" s="1"/>
  <c r="H32" i="1"/>
  <c r="H35" i="1" s="1"/>
  <c r="I32" i="1"/>
  <c r="I35" i="1" s="1"/>
  <c r="J32" i="1"/>
  <c r="J35" i="1" s="1"/>
  <c r="K32" i="1"/>
  <c r="K35" i="1" s="1"/>
  <c r="L32" i="1"/>
  <c r="L35" i="1" s="1"/>
  <c r="AC24" i="1"/>
  <c r="AD24" i="1"/>
  <c r="AO24" i="1" s="1"/>
  <c r="AE24" i="1"/>
  <c r="AF24" i="1"/>
  <c r="AG24" i="1"/>
  <c r="AH24" i="1"/>
  <c r="AI24" i="1"/>
  <c r="AJ24" i="1"/>
  <c r="AK24" i="1"/>
  <c r="AL24" i="1"/>
  <c r="AM24" i="1"/>
  <c r="AN24" i="1"/>
  <c r="AC25" i="1"/>
  <c r="AD25" i="1"/>
  <c r="AO25" i="1" s="1"/>
  <c r="AE25" i="1"/>
  <c r="AF25" i="1"/>
  <c r="AG25" i="1"/>
  <c r="AH25" i="1"/>
  <c r="AI25" i="1"/>
  <c r="AJ25" i="1"/>
  <c r="AK25" i="1"/>
  <c r="AL25" i="1"/>
  <c r="AM25" i="1"/>
  <c r="AN25" i="1"/>
  <c r="AC26" i="1"/>
  <c r="AD26" i="1"/>
  <c r="AO26" i="1" s="1"/>
  <c r="AE26" i="1"/>
  <c r="AF26" i="1"/>
  <c r="AG26" i="1"/>
  <c r="AH26" i="1"/>
  <c r="AI26" i="1"/>
  <c r="AJ26" i="1"/>
  <c r="AK26" i="1"/>
  <c r="AL26" i="1"/>
  <c r="AM26" i="1"/>
  <c r="AN26" i="1"/>
  <c r="AC27" i="1"/>
  <c r="AD27" i="1"/>
  <c r="AO27" i="1" s="1"/>
  <c r="AE27" i="1"/>
  <c r="AF27" i="1"/>
  <c r="AG27" i="1"/>
  <c r="AH27" i="1"/>
  <c r="AI27" i="1"/>
  <c r="AJ27" i="1"/>
  <c r="AK27" i="1"/>
  <c r="AL27" i="1"/>
  <c r="AM27" i="1"/>
  <c r="AN27" i="1"/>
  <c r="C34" i="1"/>
  <c r="D34" i="1"/>
  <c r="E34" i="1"/>
  <c r="F34" i="1"/>
  <c r="G34" i="1"/>
  <c r="H34" i="1"/>
  <c r="I34" i="1"/>
  <c r="J34" i="1"/>
  <c r="K34" i="1"/>
  <c r="L34" i="1"/>
  <c r="C32" i="8"/>
  <c r="D32" i="8"/>
  <c r="E32" i="8"/>
  <c r="F32" i="8"/>
  <c r="G32" i="8"/>
  <c r="H32" i="8"/>
  <c r="I32" i="8"/>
  <c r="J32" i="8"/>
  <c r="K32" i="8"/>
  <c r="L32" i="8"/>
  <c r="M32" i="8"/>
  <c r="N32" i="8"/>
  <c r="P32" i="8"/>
  <c r="Q32" i="8"/>
  <c r="R32" i="8"/>
  <c r="S32" i="8"/>
  <c r="T32" i="8"/>
  <c r="U32" i="8"/>
  <c r="V32" i="8"/>
  <c r="W32" i="8"/>
  <c r="X32" i="8"/>
  <c r="Y32" i="8"/>
  <c r="Z32" i="8"/>
  <c r="AA32" i="8"/>
  <c r="AC32" i="8"/>
  <c r="AD32" i="8"/>
  <c r="C34" i="8"/>
  <c r="D34" i="8"/>
  <c r="E34" i="8"/>
  <c r="F34" i="8"/>
  <c r="G34" i="8"/>
  <c r="H34" i="8"/>
  <c r="I34" i="8"/>
  <c r="J34" i="8"/>
  <c r="K34" i="8"/>
  <c r="L34" i="8"/>
  <c r="M34" i="8"/>
  <c r="N34" i="8"/>
  <c r="P34" i="8"/>
  <c r="Q34" i="8"/>
  <c r="R34" i="8"/>
  <c r="S34" i="8"/>
  <c r="T34" i="8"/>
  <c r="U34" i="8"/>
  <c r="V34" i="8"/>
  <c r="W34" i="8"/>
  <c r="X34" i="8"/>
  <c r="Y34" i="8"/>
  <c r="Z34" i="8"/>
  <c r="AA34" i="8"/>
  <c r="AC34" i="8"/>
  <c r="AD34" i="8"/>
  <c r="AB26" i="8"/>
  <c r="AB27" i="8"/>
  <c r="AB28" i="8"/>
  <c r="AB29" i="8"/>
  <c r="AB30" i="8"/>
  <c r="AB31" i="8"/>
  <c r="BE5" i="6"/>
  <c r="BE6" i="6"/>
  <c r="BE7" i="6"/>
  <c r="BE8" i="6"/>
  <c r="BE9" i="6"/>
  <c r="BE10" i="6"/>
  <c r="BE11" i="6"/>
  <c r="BE12" i="6"/>
  <c r="BE13" i="6"/>
  <c r="BE14" i="6"/>
  <c r="BE15" i="6"/>
  <c r="BE16" i="6"/>
  <c r="BE17" i="6"/>
  <c r="BE18" i="6"/>
  <c r="BE19" i="6"/>
  <c r="BE20" i="6"/>
  <c r="BE21" i="6"/>
  <c r="BE22" i="6"/>
  <c r="BE23" i="6"/>
  <c r="BE24" i="6"/>
  <c r="BE25" i="6"/>
  <c r="BE27" i="6"/>
  <c r="BE28" i="6"/>
  <c r="BE29" i="6"/>
  <c r="BE30" i="6"/>
  <c r="BE31" i="6"/>
  <c r="BE32" i="6"/>
  <c r="AS30" i="14"/>
  <c r="BJ5" i="6"/>
  <c r="BJ6" i="6"/>
  <c r="BJ7" i="6"/>
  <c r="BJ8" i="6"/>
  <c r="BJ9" i="6"/>
  <c r="BJ10" i="6"/>
  <c r="BJ11" i="6"/>
  <c r="BJ12" i="6"/>
  <c r="BJ13" i="6"/>
  <c r="BJ14" i="6"/>
  <c r="BJ15" i="6"/>
  <c r="BJ25" i="6"/>
  <c r="BJ27" i="6"/>
  <c r="BJ28" i="6"/>
  <c r="BJ29" i="6"/>
  <c r="BJ30" i="6"/>
  <c r="BJ31" i="6"/>
  <c r="BJ32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7" i="6"/>
  <c r="AZ28" i="6"/>
  <c r="AZ29" i="6"/>
  <c r="AZ30" i="6"/>
  <c r="AZ31" i="6"/>
  <c r="AZ32" i="6"/>
  <c r="AE31" i="8"/>
  <c r="AE31" i="1" s="1"/>
  <c r="AE30" i="8"/>
  <c r="AE30" i="1" s="1"/>
  <c r="AE29" i="8"/>
  <c r="AE29" i="1" s="1"/>
  <c r="AO28" i="8"/>
  <c r="G20" i="6"/>
  <c r="L20" i="6"/>
  <c r="Q20" i="6"/>
  <c r="V20" i="6"/>
  <c r="AA20" i="6"/>
  <c r="AF20" i="6"/>
  <c r="AK20" i="6"/>
  <c r="AP20" i="6"/>
  <c r="AU20" i="6"/>
  <c r="BK20" i="6"/>
  <c r="BP20" i="6"/>
  <c r="DT20" i="6"/>
  <c r="DY20" i="6"/>
  <c r="ED20" i="6"/>
  <c r="EI20" i="6"/>
  <c r="EN20" i="6"/>
  <c r="ES20" i="6"/>
  <c r="EX20" i="6"/>
  <c r="FC20" i="6"/>
  <c r="FH20" i="6"/>
  <c r="FM20" i="6"/>
  <c r="FR20" i="6"/>
  <c r="FW20" i="6"/>
  <c r="GB20" i="6"/>
  <c r="GC20" i="6"/>
  <c r="ED4" i="14"/>
  <c r="EI4" i="14"/>
  <c r="AE7" i="12" s="1"/>
  <c r="ES4" i="14"/>
  <c r="AG7" i="12" s="1"/>
  <c r="EX4" i="14"/>
  <c r="AH7" i="12" s="1"/>
  <c r="FH4" i="14"/>
  <c r="AJ7" i="12" s="1"/>
  <c r="FM4" i="14"/>
  <c r="AK7" i="12" s="1"/>
  <c r="FW4" i="14"/>
  <c r="AM7" i="12" s="1"/>
  <c r="GB4" i="14"/>
  <c r="AN7" i="12" s="1"/>
  <c r="DY5" i="14"/>
  <c r="AC15" i="12" s="1"/>
  <c r="EI5" i="14"/>
  <c r="AE15" i="12" s="1"/>
  <c r="EN5" i="14"/>
  <c r="AF15" i="12" s="1"/>
  <c r="EX5" i="14"/>
  <c r="FC5" i="14"/>
  <c r="AI15" i="12" s="1"/>
  <c r="FM5" i="14"/>
  <c r="AK15" i="12" s="1"/>
  <c r="FR5" i="14"/>
  <c r="AL15" i="12" s="1"/>
  <c r="GB5" i="14"/>
  <c r="AN15" i="12" s="1"/>
  <c r="ED6" i="14"/>
  <c r="AD23" i="12" s="1"/>
  <c r="EN6" i="14"/>
  <c r="AF23" i="12" s="1"/>
  <c r="ES6" i="14"/>
  <c r="AG23" i="12" s="1"/>
  <c r="FC6" i="14"/>
  <c r="AI23" i="12" s="1"/>
  <c r="FH6" i="14"/>
  <c r="AJ23" i="12" s="1"/>
  <c r="FR6" i="14"/>
  <c r="AL23" i="12" s="1"/>
  <c r="FW6" i="14"/>
  <c r="AM23" i="12" s="1"/>
  <c r="GB6" i="14"/>
  <c r="AN23" i="12" s="1"/>
  <c r="DY7" i="14"/>
  <c r="AC31" i="12" s="1"/>
  <c r="ED7" i="14"/>
  <c r="AD31" i="12" s="1"/>
  <c r="EI7" i="14"/>
  <c r="AE31" i="12" s="1"/>
  <c r="ES7" i="14"/>
  <c r="AG31" i="12" s="1"/>
  <c r="EX7" i="14"/>
  <c r="AH31" i="12" s="1"/>
  <c r="FH7" i="14"/>
  <c r="AJ31" i="12" s="1"/>
  <c r="FM7" i="14"/>
  <c r="AK31" i="12" s="1"/>
  <c r="FW7" i="14"/>
  <c r="AM31" i="12" s="1"/>
  <c r="GB7" i="14"/>
  <c r="AN31" i="12" s="1"/>
  <c r="DY8" i="14"/>
  <c r="AC39" i="12" s="1"/>
  <c r="EI8" i="14"/>
  <c r="AE39" i="12" s="1"/>
  <c r="EN8" i="14"/>
  <c r="AF39" i="12" s="1"/>
  <c r="EX8" i="14"/>
  <c r="AH39" i="12" s="1"/>
  <c r="FC8" i="14"/>
  <c r="AI39" i="12" s="1"/>
  <c r="FM8" i="14"/>
  <c r="AK39" i="12" s="1"/>
  <c r="FR8" i="14"/>
  <c r="AL39" i="12" s="1"/>
  <c r="GB8" i="14"/>
  <c r="AN39" i="12" s="1"/>
  <c r="ED9" i="14"/>
  <c r="EN9" i="14"/>
  <c r="ES9" i="14"/>
  <c r="AG16" i="11" s="1"/>
  <c r="FC9" i="14"/>
  <c r="AI8" i="11" s="1"/>
  <c r="FH9" i="14"/>
  <c r="AJ8" i="11" s="1"/>
  <c r="FR9" i="14"/>
  <c r="AL8" i="11" s="1"/>
  <c r="FW9" i="14"/>
  <c r="AM16" i="11" s="1"/>
  <c r="GB9" i="14"/>
  <c r="DY10" i="14"/>
  <c r="ED10" i="14"/>
  <c r="EI10" i="14"/>
  <c r="ES10" i="14"/>
  <c r="EX10" i="14"/>
  <c r="FH10" i="14"/>
  <c r="FM10" i="14"/>
  <c r="FW10" i="14"/>
  <c r="GB10" i="14"/>
  <c r="DY11" i="14"/>
  <c r="AC24" i="11" s="1"/>
  <c r="EI11" i="14"/>
  <c r="AD24" i="11" s="1"/>
  <c r="EN11" i="14"/>
  <c r="AE24" i="11" s="1"/>
  <c r="EX11" i="14"/>
  <c r="AH24" i="11" s="1"/>
  <c r="FC11" i="14"/>
  <c r="AI24" i="11" s="1"/>
  <c r="FM11" i="14"/>
  <c r="AK24" i="11" s="1"/>
  <c r="FR11" i="14"/>
  <c r="AL24" i="11" s="1"/>
  <c r="GB11" i="14"/>
  <c r="AN24" i="11" s="1"/>
  <c r="ED12" i="14"/>
  <c r="EN12" i="14"/>
  <c r="AE32" i="11" s="1"/>
  <c r="ES12" i="14"/>
  <c r="AF32" i="11" s="1"/>
  <c r="FC12" i="14"/>
  <c r="AI32" i="11" s="1"/>
  <c r="FH12" i="14"/>
  <c r="AJ32" i="11" s="1"/>
  <c r="FR12" i="14"/>
  <c r="AL32" i="11" s="1"/>
  <c r="FW12" i="14"/>
  <c r="AM32" i="11" s="1"/>
  <c r="GB12" i="14"/>
  <c r="AN32" i="11" s="1"/>
  <c r="DY13" i="14"/>
  <c r="AC40" i="11" s="1"/>
  <c r="ED13" i="14"/>
  <c r="EI13" i="14"/>
  <c r="AD40" i="11" s="1"/>
  <c r="ES13" i="14"/>
  <c r="AF40" i="11" s="1"/>
  <c r="EX13" i="14"/>
  <c r="AH40" i="11" s="1"/>
  <c r="FH13" i="14"/>
  <c r="AJ40" i="11" s="1"/>
  <c r="FM13" i="14"/>
  <c r="AK40" i="11" s="1"/>
  <c r="FW13" i="14"/>
  <c r="AM40" i="11" s="1"/>
  <c r="GB13" i="14"/>
  <c r="AN40" i="11" s="1"/>
  <c r="DY14" i="14"/>
  <c r="EI14" i="14"/>
  <c r="EN14" i="14"/>
  <c r="EX14" i="14"/>
  <c r="FC14" i="14"/>
  <c r="FM14" i="14"/>
  <c r="FR14" i="14"/>
  <c r="GB14" i="14"/>
  <c r="ED15" i="14"/>
  <c r="AE15" i="4" s="1"/>
  <c r="EN15" i="14"/>
  <c r="AG15" i="4" s="1"/>
  <c r="ES15" i="14"/>
  <c r="AH15" i="4" s="1"/>
  <c r="FC15" i="14"/>
  <c r="AJ15" i="4" s="1"/>
  <c r="FH15" i="14"/>
  <c r="AK15" i="4" s="1"/>
  <c r="FR15" i="14"/>
  <c r="AM15" i="4" s="1"/>
  <c r="FW15" i="14"/>
  <c r="AN15" i="4" s="1"/>
  <c r="GB15" i="14"/>
  <c r="AO15" i="4" s="1"/>
  <c r="DY16" i="14"/>
  <c r="ED16" i="14"/>
  <c r="EI16" i="14"/>
  <c r="ES16" i="14"/>
  <c r="EX16" i="14"/>
  <c r="FH16" i="14"/>
  <c r="FM16" i="14"/>
  <c r="FW16" i="14"/>
  <c r="GB16" i="14"/>
  <c r="DY17" i="14"/>
  <c r="AD31" i="4" s="1"/>
  <c r="EI17" i="14"/>
  <c r="AF31" i="4" s="1"/>
  <c r="EN17" i="14"/>
  <c r="EX17" i="14"/>
  <c r="AI31" i="4" s="1"/>
  <c r="FC17" i="14"/>
  <c r="AJ31" i="4" s="1"/>
  <c r="FM17" i="14"/>
  <c r="AL31" i="4" s="1"/>
  <c r="FR17" i="14"/>
  <c r="AM31" i="4" s="1"/>
  <c r="GB17" i="14"/>
  <c r="AO31" i="4" s="1"/>
  <c r="ED18" i="14"/>
  <c r="AE39" i="4" s="1"/>
  <c r="EN18" i="14"/>
  <c r="AG39" i="4" s="1"/>
  <c r="ES18" i="14"/>
  <c r="AH39" i="4" s="1"/>
  <c r="FC18" i="14"/>
  <c r="AJ39" i="4" s="1"/>
  <c r="FH18" i="14"/>
  <c r="AK39" i="4" s="1"/>
  <c r="FR18" i="14"/>
  <c r="AM39" i="4" s="1"/>
  <c r="FW18" i="14"/>
  <c r="AN39" i="4" s="1"/>
  <c r="GB18" i="14"/>
  <c r="AO39" i="4" s="1"/>
  <c r="DY19" i="14"/>
  <c r="AD47" i="4" s="1"/>
  <c r="ED19" i="14"/>
  <c r="AE47" i="4" s="1"/>
  <c r="EI19" i="14"/>
  <c r="ES19" i="14"/>
  <c r="AH47" i="4" s="1"/>
  <c r="EX19" i="14"/>
  <c r="AI47" i="4" s="1"/>
  <c r="FH19" i="14"/>
  <c r="AK47" i="4" s="1"/>
  <c r="FM19" i="14"/>
  <c r="AL47" i="4" s="1"/>
  <c r="FW19" i="14"/>
  <c r="AN47" i="4" s="1"/>
  <c r="GB19" i="14"/>
  <c r="AO47" i="4" s="1"/>
  <c r="DY20" i="14"/>
  <c r="AD55" i="4" s="1"/>
  <c r="EI20" i="14"/>
  <c r="AF55" i="4" s="1"/>
  <c r="EN20" i="14"/>
  <c r="AG55" i="4" s="1"/>
  <c r="EX20" i="14"/>
  <c r="AI55" i="4" s="1"/>
  <c r="FC20" i="14"/>
  <c r="AJ55" i="4" s="1"/>
  <c r="FM20" i="14"/>
  <c r="AL55" i="4" s="1"/>
  <c r="FR20" i="14"/>
  <c r="AM55" i="4" s="1"/>
  <c r="GB20" i="14"/>
  <c r="AO55" i="4" s="1"/>
  <c r="ED21" i="14"/>
  <c r="AE63" i="4" s="1"/>
  <c r="EN21" i="14"/>
  <c r="AG63" i="4" s="1"/>
  <c r="ES21" i="14"/>
  <c r="AH63" i="4" s="1"/>
  <c r="FC21" i="14"/>
  <c r="AJ63" i="4" s="1"/>
  <c r="FH21" i="14"/>
  <c r="AK63" i="4" s="1"/>
  <c r="FR21" i="14"/>
  <c r="FW21" i="14"/>
  <c r="AN63" i="4" s="1"/>
  <c r="GB21" i="14"/>
  <c r="AO63" i="4" s="1"/>
  <c r="DY22" i="14"/>
  <c r="AD71" i="4" s="1"/>
  <c r="ED22" i="14"/>
  <c r="AE71" i="4" s="1"/>
  <c r="EI22" i="14"/>
  <c r="AF71" i="4" s="1"/>
  <c r="ES22" i="14"/>
  <c r="AH71" i="4" s="1"/>
  <c r="EX22" i="14"/>
  <c r="AI71" i="4" s="1"/>
  <c r="FH22" i="14"/>
  <c r="AK71" i="4" s="1"/>
  <c r="FM22" i="14"/>
  <c r="FW22" i="14"/>
  <c r="AN71" i="4" s="1"/>
  <c r="GB22" i="14"/>
  <c r="AO71" i="4" s="1"/>
  <c r="DY23" i="14"/>
  <c r="AD79" i="4" s="1"/>
  <c r="EI23" i="14"/>
  <c r="AF79" i="4" s="1"/>
  <c r="EN23" i="14"/>
  <c r="AG79" i="4" s="1"/>
  <c r="EX23" i="14"/>
  <c r="AI79" i="4" s="1"/>
  <c r="FC23" i="14"/>
  <c r="AJ79" i="4" s="1"/>
  <c r="FM23" i="14"/>
  <c r="FR23" i="14"/>
  <c r="AM79" i="4" s="1"/>
  <c r="GB23" i="14"/>
  <c r="AO79" i="4" s="1"/>
  <c r="ED24" i="14"/>
  <c r="AE87" i="4" s="1"/>
  <c r="EN24" i="14"/>
  <c r="AG87" i="4" s="1"/>
  <c r="ES24" i="14"/>
  <c r="AH87" i="4" s="1"/>
  <c r="FC24" i="14"/>
  <c r="AJ87" i="4" s="1"/>
  <c r="FH24" i="14"/>
  <c r="AK87" i="4" s="1"/>
  <c r="FR24" i="14"/>
  <c r="AM87" i="4" s="1"/>
  <c r="FW24" i="14"/>
  <c r="AN87" i="4" s="1"/>
  <c r="GB24" i="14"/>
  <c r="AO87" i="4" s="1"/>
  <c r="DY25" i="14"/>
  <c r="ED25" i="14"/>
  <c r="EI25" i="14"/>
  <c r="ES25" i="14"/>
  <c r="EX25" i="14"/>
  <c r="FH25" i="14"/>
  <c r="FM25" i="14"/>
  <c r="FW25" i="14"/>
  <c r="GB25" i="14"/>
  <c r="DY26" i="14"/>
  <c r="EI26" i="14"/>
  <c r="EN26" i="14"/>
  <c r="EX26" i="14"/>
  <c r="FC26" i="14"/>
  <c r="FM26" i="14"/>
  <c r="FR26" i="14"/>
  <c r="GB26" i="14"/>
  <c r="ED27" i="14"/>
  <c r="EN27" i="14"/>
  <c r="ES27" i="14"/>
  <c r="FC27" i="14"/>
  <c r="FH27" i="14"/>
  <c r="FR27" i="14"/>
  <c r="FW27" i="14"/>
  <c r="GB27" i="14"/>
  <c r="DY28" i="14"/>
  <c r="ED28" i="14"/>
  <c r="EI28" i="14"/>
  <c r="ES28" i="14"/>
  <c r="EX28" i="14"/>
  <c r="FH28" i="14"/>
  <c r="FM28" i="14"/>
  <c r="FW28" i="14"/>
  <c r="GB28" i="14"/>
  <c r="DY29" i="14"/>
  <c r="EI29" i="14"/>
  <c r="EN29" i="14"/>
  <c r="EX29" i="14"/>
  <c r="FC29" i="14"/>
  <c r="FM29" i="14"/>
  <c r="FR29" i="14"/>
  <c r="GB29" i="14"/>
  <c r="ED30" i="14"/>
  <c r="GC30" i="14" s="1"/>
  <c r="EN30" i="14"/>
  <c r="ES30" i="14"/>
  <c r="FC30" i="14"/>
  <c r="FH30" i="14"/>
  <c r="FR30" i="14"/>
  <c r="FW30" i="14"/>
  <c r="GB30" i="14"/>
  <c r="DY31" i="14"/>
  <c r="ED31" i="14"/>
  <c r="EI31" i="14"/>
  <c r="ES31" i="14"/>
  <c r="EX31" i="14"/>
  <c r="FH31" i="14"/>
  <c r="FM31" i="14"/>
  <c r="FW31" i="14"/>
  <c r="GB31" i="14"/>
  <c r="DY32" i="14"/>
  <c r="EI32" i="14"/>
  <c r="EN32" i="14"/>
  <c r="EX32" i="14"/>
  <c r="FC32" i="14"/>
  <c r="FM32" i="14"/>
  <c r="FR32" i="14"/>
  <c r="GB32" i="14"/>
  <c r="DX33" i="14"/>
  <c r="DZ33" i="14"/>
  <c r="EA33" i="14"/>
  <c r="EE33" i="14"/>
  <c r="EF33" i="14"/>
  <c r="EH33" i="14"/>
  <c r="EJ33" i="14"/>
  <c r="EK33" i="14"/>
  <c r="EM33" i="14"/>
  <c r="EO33" i="14"/>
  <c r="EP33" i="14"/>
  <c r="ET33" i="14"/>
  <c r="EU33" i="14"/>
  <c r="EW33" i="14"/>
  <c r="EY33" i="14"/>
  <c r="EZ33" i="14"/>
  <c r="FB33" i="14"/>
  <c r="FD33" i="14"/>
  <c r="FE33" i="14"/>
  <c r="FI33" i="14"/>
  <c r="FJ33" i="14"/>
  <c r="FL33" i="14"/>
  <c r="FN33" i="14"/>
  <c r="FO33" i="14"/>
  <c r="FQ33" i="14"/>
  <c r="FS33" i="14"/>
  <c r="FT33" i="14"/>
  <c r="FX33" i="14"/>
  <c r="FY33" i="14"/>
  <c r="FZ33" i="14"/>
  <c r="CO25" i="14"/>
  <c r="CY25" i="14"/>
  <c r="DD25" i="14"/>
  <c r="DN25" i="14"/>
  <c r="DS25" i="14"/>
  <c r="CO26" i="14"/>
  <c r="CT26" i="14"/>
  <c r="CY26" i="14"/>
  <c r="DD26" i="14"/>
  <c r="DI26" i="14"/>
  <c r="DS26" i="14"/>
  <c r="CT27" i="14"/>
  <c r="CY27" i="14"/>
  <c r="DI27" i="14"/>
  <c r="DN27" i="14"/>
  <c r="DS27" i="14"/>
  <c r="CO28" i="14"/>
  <c r="CY28" i="14"/>
  <c r="DD28" i="14"/>
  <c r="DN28" i="14"/>
  <c r="DS28" i="14"/>
  <c r="CO29" i="14"/>
  <c r="CT29" i="14"/>
  <c r="CY29" i="14"/>
  <c r="DD29" i="14"/>
  <c r="DI29" i="14"/>
  <c r="DS29" i="14"/>
  <c r="CT30" i="14"/>
  <c r="CY30" i="14"/>
  <c r="DI30" i="14"/>
  <c r="DN30" i="14"/>
  <c r="DS30" i="14"/>
  <c r="CO31" i="14"/>
  <c r="CY31" i="14"/>
  <c r="DD31" i="14"/>
  <c r="DN31" i="14"/>
  <c r="DS31" i="14"/>
  <c r="CO32" i="14"/>
  <c r="CT32" i="14"/>
  <c r="CY32" i="14"/>
  <c r="DD32" i="14"/>
  <c r="DI32" i="14"/>
  <c r="DS32" i="14"/>
  <c r="BZ25" i="14"/>
  <c r="CE26" i="14"/>
  <c r="BZ27" i="14"/>
  <c r="CE27" i="14"/>
  <c r="BZ28" i="14"/>
  <c r="CE29" i="14"/>
  <c r="BZ30" i="14"/>
  <c r="CE30" i="14"/>
  <c r="BZ31" i="14"/>
  <c r="CE32" i="14"/>
  <c r="BD32" i="14"/>
  <c r="BE32" i="14" s="1"/>
  <c r="BK32" i="14" s="1"/>
  <c r="BI25" i="14"/>
  <c r="BI26" i="14"/>
  <c r="BJ26" i="14" s="1"/>
  <c r="BI27" i="14"/>
  <c r="BI28" i="14"/>
  <c r="BI29" i="14"/>
  <c r="BI30" i="14"/>
  <c r="BJ30" i="14" s="1"/>
  <c r="BI31" i="14"/>
  <c r="BJ31" i="14" s="1"/>
  <c r="BD25" i="14"/>
  <c r="BD26" i="14"/>
  <c r="BD27" i="14"/>
  <c r="BD28" i="14"/>
  <c r="BD29" i="14"/>
  <c r="BD30" i="14"/>
  <c r="BE30" i="14" s="1"/>
  <c r="BD31" i="14"/>
  <c r="BE31" i="14" s="1"/>
  <c r="BK31" i="14" s="1"/>
  <c r="DY25" i="6"/>
  <c r="DY27" i="6"/>
  <c r="DY28" i="6"/>
  <c r="DY29" i="6"/>
  <c r="DY30" i="6"/>
  <c r="DY31" i="6"/>
  <c r="DY32" i="6"/>
  <c r="BA33" i="6"/>
  <c r="BB33" i="6"/>
  <c r="BC33" i="6"/>
  <c r="BD33" i="6"/>
  <c r="BF33" i="6"/>
  <c r="BG33" i="6"/>
  <c r="BH33" i="6"/>
  <c r="BI33" i="6"/>
  <c r="BL33" i="6"/>
  <c r="BM33" i="6"/>
  <c r="BN33" i="6"/>
  <c r="BO33" i="6"/>
  <c r="BQ33" i="6"/>
  <c r="BR33" i="6"/>
  <c r="BS33" i="6"/>
  <c r="BT33" i="6"/>
  <c r="BP24" i="6"/>
  <c r="BP25" i="6"/>
  <c r="BP27" i="6"/>
  <c r="BP28" i="6"/>
  <c r="BP29" i="6"/>
  <c r="BP30" i="6"/>
  <c r="BP31" i="6"/>
  <c r="BP32" i="6"/>
  <c r="ED23" i="6"/>
  <c r="ED24" i="6"/>
  <c r="ED25" i="6"/>
  <c r="ED27" i="6"/>
  <c r="ED28" i="6"/>
  <c r="ED29" i="6"/>
  <c r="ED30" i="6"/>
  <c r="ED31" i="6"/>
  <c r="ED32" i="6"/>
  <c r="EI21" i="6"/>
  <c r="EI22" i="6"/>
  <c r="EI23" i="6"/>
  <c r="EI24" i="6"/>
  <c r="EI25" i="6"/>
  <c r="EI27" i="6"/>
  <c r="EI28" i="6"/>
  <c r="EI29" i="6"/>
  <c r="EI30" i="6"/>
  <c r="EI31" i="6"/>
  <c r="EI32" i="6"/>
  <c r="ES23" i="6"/>
  <c r="ES24" i="6"/>
  <c r="ES25" i="6"/>
  <c r="ES27" i="6"/>
  <c r="ES28" i="6"/>
  <c r="ES29" i="6"/>
  <c r="ES30" i="6"/>
  <c r="ES31" i="6"/>
  <c r="ES32" i="6"/>
  <c r="EN23" i="6"/>
  <c r="EN24" i="6"/>
  <c r="EN25" i="6"/>
  <c r="EN27" i="6"/>
  <c r="EN28" i="6"/>
  <c r="EN29" i="6"/>
  <c r="EN30" i="6"/>
  <c r="EN31" i="6"/>
  <c r="EX24" i="6"/>
  <c r="EX25" i="6"/>
  <c r="EX27" i="6"/>
  <c r="EX28" i="6"/>
  <c r="EX29" i="6"/>
  <c r="EX30" i="6"/>
  <c r="EX31" i="6"/>
  <c r="EX32" i="6"/>
  <c r="FH24" i="6"/>
  <c r="FH25" i="6"/>
  <c r="FH27" i="6"/>
  <c r="FH28" i="6"/>
  <c r="FH29" i="6"/>
  <c r="FH30" i="6"/>
  <c r="FH31" i="6"/>
  <c r="FH32" i="6"/>
  <c r="FC25" i="6"/>
  <c r="FC27" i="6"/>
  <c r="FC28" i="6"/>
  <c r="FC29" i="6"/>
  <c r="FC30" i="6"/>
  <c r="FC31" i="6"/>
  <c r="FC32" i="6"/>
  <c r="BU25" i="14"/>
  <c r="BU28" i="14"/>
  <c r="BU31" i="14"/>
  <c r="BP25" i="14"/>
  <c r="BP26" i="14"/>
  <c r="BP29" i="14"/>
  <c r="BP30" i="14"/>
  <c r="BP31" i="14"/>
  <c r="AU25" i="14"/>
  <c r="AU26" i="14"/>
  <c r="AU27" i="14"/>
  <c r="AU28" i="14"/>
  <c r="AU29" i="14"/>
  <c r="AU30" i="14"/>
  <c r="AU31" i="14"/>
  <c r="AU32" i="14"/>
  <c r="AZ25" i="14"/>
  <c r="AZ26" i="14"/>
  <c r="AZ27" i="14"/>
  <c r="AZ28" i="14"/>
  <c r="AZ29" i="14"/>
  <c r="AZ30" i="14"/>
  <c r="AZ31" i="14"/>
  <c r="AZ32" i="14"/>
  <c r="BJ25" i="14"/>
  <c r="BJ27" i="14"/>
  <c r="BJ28" i="14"/>
  <c r="BJ29" i="14"/>
  <c r="BJ32" i="14"/>
  <c r="BE25" i="14"/>
  <c r="BE26" i="14"/>
  <c r="BE27" i="14"/>
  <c r="BK27" i="14" s="1"/>
  <c r="BE28" i="14"/>
  <c r="BK28" i="14" s="1"/>
  <c r="BE29" i="14"/>
  <c r="BK29" i="14" s="1"/>
  <c r="FM25" i="6"/>
  <c r="FM27" i="6"/>
  <c r="FM28" i="6"/>
  <c r="FM29" i="6"/>
  <c r="FM30" i="6"/>
  <c r="FM31" i="6"/>
  <c r="FM32" i="6"/>
  <c r="FR25" i="6"/>
  <c r="FR27" i="6"/>
  <c r="FR28" i="6"/>
  <c r="FR29" i="6"/>
  <c r="FR30" i="6"/>
  <c r="FR31" i="6"/>
  <c r="FR32" i="6"/>
  <c r="GB25" i="6"/>
  <c r="GB27" i="6"/>
  <c r="GB28" i="6"/>
  <c r="GB29" i="6"/>
  <c r="GB30" i="6"/>
  <c r="GB31" i="6"/>
  <c r="GB32" i="6"/>
  <c r="FW25" i="6"/>
  <c r="GC25" i="6" s="1"/>
  <c r="FW27" i="6"/>
  <c r="GC27" i="6" s="1"/>
  <c r="FW28" i="6"/>
  <c r="GC28" i="6" s="1"/>
  <c r="FW29" i="6"/>
  <c r="GC29" i="6" s="1"/>
  <c r="FW30" i="6"/>
  <c r="GC30" i="6" s="1"/>
  <c r="FW31" i="6"/>
  <c r="GC31" i="6" s="1"/>
  <c r="FW32" i="6"/>
  <c r="GC32" i="6" s="1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Y33" i="14"/>
  <c r="G33" i="14"/>
  <c r="BV33" i="6"/>
  <c r="BW33" i="6"/>
  <c r="BX33" i="6"/>
  <c r="BY33" i="6"/>
  <c r="CA33" i="6"/>
  <c r="CB33" i="6"/>
  <c r="CC33" i="6"/>
  <c r="CD33" i="6"/>
  <c r="CF33" i="6"/>
  <c r="CG33" i="6"/>
  <c r="CH33" i="6"/>
  <c r="CI33" i="6"/>
  <c r="CK33" i="6"/>
  <c r="CL33" i="6"/>
  <c r="CM33" i="6"/>
  <c r="CN33" i="6"/>
  <c r="CP33" i="6"/>
  <c r="CQ33" i="6"/>
  <c r="CR33" i="6"/>
  <c r="CS33" i="6"/>
  <c r="CU33" i="6"/>
  <c r="CV33" i="6"/>
  <c r="CW33" i="6"/>
  <c r="CX33" i="6"/>
  <c r="CZ33" i="6"/>
  <c r="DA33" i="6"/>
  <c r="DB33" i="6"/>
  <c r="DC33" i="6"/>
  <c r="DE33" i="6"/>
  <c r="DF33" i="6"/>
  <c r="DG33" i="6"/>
  <c r="DH33" i="6"/>
  <c r="DJ33" i="6"/>
  <c r="DK33" i="6"/>
  <c r="DL33" i="6"/>
  <c r="DM33" i="6"/>
  <c r="DO33" i="6"/>
  <c r="DP33" i="6"/>
  <c r="DQ33" i="6"/>
  <c r="DR33" i="6"/>
  <c r="DU33" i="6"/>
  <c r="DV33" i="6"/>
  <c r="DW33" i="6"/>
  <c r="DX33" i="6"/>
  <c r="DZ33" i="6"/>
  <c r="EA33" i="6"/>
  <c r="EB33" i="6"/>
  <c r="EC33" i="6"/>
  <c r="EE33" i="6"/>
  <c r="EF33" i="6"/>
  <c r="EG33" i="6"/>
  <c r="EH33" i="6"/>
  <c r="EJ33" i="6"/>
  <c r="EK33" i="6"/>
  <c r="EL33" i="6"/>
  <c r="EM33" i="6"/>
  <c r="EO33" i="6"/>
  <c r="EP33" i="6"/>
  <c r="EQ33" i="6"/>
  <c r="ER33" i="6"/>
  <c r="ET33" i="6"/>
  <c r="EU33" i="6"/>
  <c r="EV33" i="6"/>
  <c r="EW33" i="6"/>
  <c r="EY33" i="6"/>
  <c r="EZ33" i="6"/>
  <c r="FA33" i="6"/>
  <c r="FB33" i="6"/>
  <c r="FD33" i="6"/>
  <c r="FE33" i="6"/>
  <c r="FF33" i="6"/>
  <c r="FG33" i="6"/>
  <c r="FI33" i="6"/>
  <c r="FJ33" i="6"/>
  <c r="FK33" i="6"/>
  <c r="FL33" i="6"/>
  <c r="FN33" i="6"/>
  <c r="FO33" i="6"/>
  <c r="FP33" i="6"/>
  <c r="FQ33" i="6"/>
  <c r="FS33" i="6"/>
  <c r="FT33" i="6"/>
  <c r="FU33" i="6"/>
  <c r="FV33" i="6"/>
  <c r="FX33" i="6"/>
  <c r="FY33" i="6"/>
  <c r="FZ33" i="6"/>
  <c r="GA33" i="6"/>
  <c r="P32" i="2"/>
  <c r="Q32" i="2"/>
  <c r="R32" i="2"/>
  <c r="S32" i="2"/>
  <c r="T32" i="2"/>
  <c r="U32" i="2"/>
  <c r="V32" i="2"/>
  <c r="W32" i="2"/>
  <c r="X32" i="2"/>
  <c r="Y32" i="2"/>
  <c r="Z32" i="2"/>
  <c r="O32" i="2"/>
  <c r="AA26" i="2"/>
  <c r="AA27" i="2"/>
  <c r="AA28" i="2"/>
  <c r="AA29" i="2"/>
  <c r="AA30" i="2"/>
  <c r="AA31" i="2"/>
  <c r="O26" i="1"/>
  <c r="O27" i="1"/>
  <c r="O28" i="1"/>
  <c r="O29" i="1"/>
  <c r="O30" i="1"/>
  <c r="O31" i="1"/>
  <c r="AB24" i="8"/>
  <c r="AB25" i="8"/>
  <c r="AZ4" i="14"/>
  <c r="AZ5" i="14"/>
  <c r="AZ6" i="14"/>
  <c r="AZ7" i="14"/>
  <c r="AZ8" i="14"/>
  <c r="AZ9" i="14"/>
  <c r="AZ10" i="14"/>
  <c r="AZ11" i="14"/>
  <c r="AZ12" i="14"/>
  <c r="AZ13" i="14"/>
  <c r="AZ15" i="14"/>
  <c r="AZ17" i="14"/>
  <c r="AZ18" i="14"/>
  <c r="AZ19" i="14"/>
  <c r="AZ20" i="14"/>
  <c r="AZ21" i="14"/>
  <c r="AZ22" i="14"/>
  <c r="AZ23" i="14"/>
  <c r="AZ24" i="14"/>
  <c r="AO24" i="8"/>
  <c r="AO25" i="8"/>
  <c r="O25" i="8"/>
  <c r="O24" i="8"/>
  <c r="M24" i="1"/>
  <c r="N24" i="1"/>
  <c r="M25" i="1"/>
  <c r="N25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3" i="1"/>
  <c r="AB20" i="21"/>
  <c r="AB22" i="21"/>
  <c r="C30" i="21"/>
  <c r="D30" i="21"/>
  <c r="E30" i="21"/>
  <c r="F30" i="21"/>
  <c r="G30" i="21"/>
  <c r="H30" i="21"/>
  <c r="I30" i="21"/>
  <c r="J30" i="21"/>
  <c r="K30" i="21"/>
  <c r="L30" i="21"/>
  <c r="M30" i="21"/>
  <c r="B30" i="21"/>
  <c r="AA4" i="21"/>
  <c r="AA5" i="21"/>
  <c r="AA6" i="21"/>
  <c r="AA22" i="21"/>
  <c r="AA24" i="21"/>
  <c r="AA25" i="21"/>
  <c r="AA26" i="21"/>
  <c r="AA27" i="21"/>
  <c r="AA28" i="21"/>
  <c r="AA29" i="21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2" i="21"/>
  <c r="P30" i="21"/>
  <c r="O30" i="21"/>
  <c r="Z23" i="21"/>
  <c r="Y23" i="21"/>
  <c r="X23" i="21"/>
  <c r="W23" i="21"/>
  <c r="V23" i="21"/>
  <c r="U23" i="21"/>
  <c r="T23" i="21"/>
  <c r="AA23" i="21" s="1"/>
  <c r="S23" i="21"/>
  <c r="R23" i="21"/>
  <c r="Q23" i="21"/>
  <c r="Z22" i="21"/>
  <c r="Y22" i="21"/>
  <c r="X22" i="21"/>
  <c r="W22" i="21"/>
  <c r="V22" i="21"/>
  <c r="U22" i="21"/>
  <c r="T22" i="21"/>
  <c r="S22" i="21"/>
  <c r="R22" i="21"/>
  <c r="Q22" i="21"/>
  <c r="Z21" i="21"/>
  <c r="Y21" i="21"/>
  <c r="X21" i="21"/>
  <c r="W21" i="21"/>
  <c r="V21" i="21"/>
  <c r="U21" i="21"/>
  <c r="T21" i="21"/>
  <c r="S21" i="21"/>
  <c r="R21" i="21"/>
  <c r="Q21" i="21"/>
  <c r="AA21" i="21" s="1"/>
  <c r="Z20" i="21"/>
  <c r="Y20" i="21"/>
  <c r="X20" i="21"/>
  <c r="W20" i="21"/>
  <c r="V20" i="21"/>
  <c r="U20" i="21"/>
  <c r="T20" i="21"/>
  <c r="S20" i="21"/>
  <c r="R20" i="21"/>
  <c r="Q20" i="21"/>
  <c r="AA20" i="21" s="1"/>
  <c r="Z19" i="21"/>
  <c r="Y19" i="21"/>
  <c r="X19" i="21"/>
  <c r="W19" i="21"/>
  <c r="V19" i="21"/>
  <c r="U19" i="21"/>
  <c r="T19" i="21"/>
  <c r="S19" i="21"/>
  <c r="R19" i="21"/>
  <c r="Q19" i="21"/>
  <c r="AA19" i="21" s="1"/>
  <c r="Z18" i="21"/>
  <c r="Y18" i="21"/>
  <c r="X18" i="21"/>
  <c r="W18" i="21"/>
  <c r="V18" i="21"/>
  <c r="U18" i="21"/>
  <c r="T18" i="21"/>
  <c r="S18" i="21"/>
  <c r="R18" i="21"/>
  <c r="Q18" i="21"/>
  <c r="AA18" i="21" s="1"/>
  <c r="Z17" i="21"/>
  <c r="Y17" i="21"/>
  <c r="X17" i="21"/>
  <c r="W17" i="21"/>
  <c r="V17" i="21"/>
  <c r="U17" i="21"/>
  <c r="T17" i="21"/>
  <c r="S17" i="21"/>
  <c r="R17" i="21"/>
  <c r="Q17" i="21"/>
  <c r="AA17" i="21" s="1"/>
  <c r="Z16" i="21"/>
  <c r="Y16" i="21"/>
  <c r="X16" i="21"/>
  <c r="W16" i="21"/>
  <c r="V16" i="21"/>
  <c r="U16" i="21"/>
  <c r="T16" i="21"/>
  <c r="S16" i="21"/>
  <c r="R16" i="21"/>
  <c r="Q16" i="21"/>
  <c r="AA16" i="21" s="1"/>
  <c r="Z15" i="21"/>
  <c r="Y15" i="21"/>
  <c r="X15" i="21"/>
  <c r="W15" i="21"/>
  <c r="V15" i="21"/>
  <c r="U15" i="21"/>
  <c r="T15" i="21"/>
  <c r="S15" i="21"/>
  <c r="R15" i="21"/>
  <c r="AA15" i="21" s="1"/>
  <c r="Z14" i="21"/>
  <c r="Y14" i="21"/>
  <c r="X14" i="21"/>
  <c r="W14" i="21"/>
  <c r="V14" i="21"/>
  <c r="U14" i="21"/>
  <c r="T14" i="21"/>
  <c r="S14" i="21"/>
  <c r="R14" i="21"/>
  <c r="Q14" i="21"/>
  <c r="AA14" i="21" s="1"/>
  <c r="Z13" i="21"/>
  <c r="Y13" i="21"/>
  <c r="X13" i="21"/>
  <c r="W13" i="21"/>
  <c r="V13" i="21"/>
  <c r="U13" i="21"/>
  <c r="T13" i="21"/>
  <c r="S13" i="21"/>
  <c r="R13" i="21"/>
  <c r="AA13" i="21" s="1"/>
  <c r="Z12" i="21"/>
  <c r="Y12" i="21"/>
  <c r="X12" i="21"/>
  <c r="W12" i="21"/>
  <c r="V12" i="21"/>
  <c r="U12" i="21"/>
  <c r="T12" i="21"/>
  <c r="S12" i="21"/>
  <c r="R12" i="21"/>
  <c r="Q12" i="21"/>
  <c r="AA12" i="21" s="1"/>
  <c r="Z11" i="21"/>
  <c r="Y11" i="21"/>
  <c r="X11" i="21"/>
  <c r="W11" i="21"/>
  <c r="V11" i="21"/>
  <c r="U11" i="21"/>
  <c r="T11" i="21"/>
  <c r="S11" i="21"/>
  <c r="R11" i="21"/>
  <c r="Q11" i="21"/>
  <c r="AA11" i="21" s="1"/>
  <c r="Z10" i="21"/>
  <c r="Y10" i="21"/>
  <c r="X10" i="21"/>
  <c r="W10" i="21"/>
  <c r="V10" i="21"/>
  <c r="U10" i="21"/>
  <c r="T10" i="21"/>
  <c r="S10" i="21"/>
  <c r="R10" i="21"/>
  <c r="Q10" i="21"/>
  <c r="AA10" i="21" s="1"/>
  <c r="Z9" i="21"/>
  <c r="Y9" i="21"/>
  <c r="X9" i="21"/>
  <c r="W9" i="21"/>
  <c r="V9" i="21"/>
  <c r="U9" i="21"/>
  <c r="T9" i="21"/>
  <c r="S9" i="21"/>
  <c r="R9" i="21"/>
  <c r="Q9" i="21"/>
  <c r="AA9" i="21" s="1"/>
  <c r="Z8" i="21"/>
  <c r="Y8" i="21"/>
  <c r="X8" i="21"/>
  <c r="W8" i="21"/>
  <c r="V8" i="21"/>
  <c r="U8" i="21"/>
  <c r="T8" i="21"/>
  <c r="S8" i="21"/>
  <c r="R8" i="21"/>
  <c r="Q8" i="21"/>
  <c r="AA8" i="21" s="1"/>
  <c r="Z7" i="21"/>
  <c r="Y7" i="21"/>
  <c r="X7" i="21"/>
  <c r="W7" i="21"/>
  <c r="V7" i="21"/>
  <c r="U7" i="21"/>
  <c r="T7" i="21"/>
  <c r="S7" i="21"/>
  <c r="R7" i="21"/>
  <c r="Q7" i="21"/>
  <c r="AA7" i="21" s="1"/>
  <c r="Z6" i="21"/>
  <c r="Y6" i="21"/>
  <c r="X6" i="21"/>
  <c r="W6" i="21"/>
  <c r="V6" i="21"/>
  <c r="U6" i="21"/>
  <c r="T6" i="21"/>
  <c r="S6" i="21"/>
  <c r="R6" i="21"/>
  <c r="Q6" i="21"/>
  <c r="Z5" i="21"/>
  <c r="Y5" i="21"/>
  <c r="X5" i="21"/>
  <c r="W5" i="21"/>
  <c r="V5" i="21"/>
  <c r="U5" i="21"/>
  <c r="T5" i="21"/>
  <c r="S5" i="21"/>
  <c r="R5" i="21"/>
  <c r="Q5" i="21"/>
  <c r="Z4" i="21"/>
  <c r="Y4" i="21"/>
  <c r="X4" i="21"/>
  <c r="W4" i="21"/>
  <c r="V4" i="21"/>
  <c r="U4" i="21"/>
  <c r="T4" i="21"/>
  <c r="S4" i="21"/>
  <c r="R4" i="21"/>
  <c r="Q4" i="21"/>
  <c r="Z3" i="21"/>
  <c r="Z30" i="21" s="1"/>
  <c r="Y3" i="21"/>
  <c r="Y30" i="21" s="1"/>
  <c r="X3" i="21"/>
  <c r="X30" i="21" s="1"/>
  <c r="W3" i="21"/>
  <c r="W30" i="21" s="1"/>
  <c r="V3" i="21"/>
  <c r="V30" i="21" s="1"/>
  <c r="U3" i="21"/>
  <c r="U30" i="21" s="1"/>
  <c r="T3" i="21"/>
  <c r="T30" i="21" s="1"/>
  <c r="S3" i="21"/>
  <c r="S30" i="21" s="1"/>
  <c r="R3" i="21"/>
  <c r="R30" i="21" s="1"/>
  <c r="Q3" i="21"/>
  <c r="N3" i="21"/>
  <c r="DY5" i="6"/>
  <c r="DY6" i="6"/>
  <c r="DY7" i="6"/>
  <c r="DY8" i="6"/>
  <c r="DY9" i="6"/>
  <c r="DY10" i="6"/>
  <c r="DY11" i="6"/>
  <c r="DY12" i="6"/>
  <c r="DY13" i="6"/>
  <c r="DY14" i="6"/>
  <c r="DY15" i="6"/>
  <c r="DY16" i="6"/>
  <c r="DY17" i="6"/>
  <c r="DY18" i="6"/>
  <c r="DY19" i="6"/>
  <c r="DY21" i="6"/>
  <c r="DY22" i="6"/>
  <c r="DY23" i="6"/>
  <c r="DY24" i="6"/>
  <c r="DY4" i="6"/>
  <c r="GC34" i="14"/>
  <c r="GB24" i="6"/>
  <c r="FW24" i="6"/>
  <c r="FR24" i="6"/>
  <c r="FM24" i="6"/>
  <c r="FC24" i="6"/>
  <c r="GB23" i="6"/>
  <c r="FW23" i="6"/>
  <c r="FR23" i="6"/>
  <c r="FM23" i="6"/>
  <c r="FH23" i="6"/>
  <c r="FC23" i="6"/>
  <c r="EX23" i="6"/>
  <c r="GB22" i="6"/>
  <c r="FW22" i="6"/>
  <c r="FR22" i="6"/>
  <c r="FM22" i="6"/>
  <c r="FH22" i="6"/>
  <c r="FC22" i="6"/>
  <c r="EX22" i="6"/>
  <c r="ES22" i="6"/>
  <c r="EN22" i="6"/>
  <c r="ED22" i="6"/>
  <c r="GB21" i="6"/>
  <c r="FW21" i="6"/>
  <c r="FR21" i="6"/>
  <c r="FM21" i="6"/>
  <c r="FH21" i="6"/>
  <c r="FC21" i="6"/>
  <c r="EX21" i="6"/>
  <c r="ES21" i="6"/>
  <c r="EN21" i="6"/>
  <c r="ED21" i="6"/>
  <c r="GB19" i="6"/>
  <c r="FW19" i="6"/>
  <c r="FR19" i="6"/>
  <c r="FM19" i="6"/>
  <c r="FH19" i="6"/>
  <c r="FC19" i="6"/>
  <c r="EX19" i="6"/>
  <c r="ES19" i="6"/>
  <c r="EN19" i="6"/>
  <c r="EI19" i="6"/>
  <c r="ED19" i="6"/>
  <c r="GB18" i="6"/>
  <c r="FW18" i="6"/>
  <c r="FR18" i="6"/>
  <c r="FM18" i="6"/>
  <c r="FH18" i="6"/>
  <c r="FC18" i="6"/>
  <c r="EX18" i="6"/>
  <c r="ES18" i="6"/>
  <c r="EN18" i="6"/>
  <c r="EI18" i="6"/>
  <c r="ED18" i="6"/>
  <c r="GB17" i="6"/>
  <c r="FW17" i="6"/>
  <c r="FR17" i="6"/>
  <c r="FM17" i="6"/>
  <c r="FH17" i="6"/>
  <c r="FC17" i="6"/>
  <c r="EX17" i="6"/>
  <c r="ES17" i="6"/>
  <c r="EN17" i="6"/>
  <c r="EI17" i="6"/>
  <c r="ED17" i="6"/>
  <c r="GB16" i="6"/>
  <c r="FW16" i="6"/>
  <c r="FR16" i="6"/>
  <c r="FM16" i="6"/>
  <c r="FH16" i="6"/>
  <c r="FC16" i="6"/>
  <c r="EX16" i="6"/>
  <c r="ES16" i="6"/>
  <c r="EN16" i="6"/>
  <c r="EI16" i="6"/>
  <c r="ED16" i="6"/>
  <c r="GB15" i="6"/>
  <c r="FW15" i="6"/>
  <c r="FR15" i="6"/>
  <c r="FM15" i="6"/>
  <c r="FH15" i="6"/>
  <c r="FC15" i="6"/>
  <c r="EX15" i="6"/>
  <c r="ES15" i="6"/>
  <c r="EN15" i="6"/>
  <c r="EI15" i="6"/>
  <c r="ED15" i="6"/>
  <c r="GB14" i="6"/>
  <c r="FW14" i="6"/>
  <c r="FR14" i="6"/>
  <c r="FM14" i="6"/>
  <c r="FH14" i="6"/>
  <c r="FC14" i="6"/>
  <c r="EX14" i="6"/>
  <c r="ES14" i="6"/>
  <c r="EN14" i="6"/>
  <c r="EI14" i="6"/>
  <c r="ED14" i="6"/>
  <c r="GB13" i="6"/>
  <c r="FW13" i="6"/>
  <c r="FR13" i="6"/>
  <c r="FM13" i="6"/>
  <c r="FH13" i="6"/>
  <c r="FC13" i="6"/>
  <c r="EX13" i="6"/>
  <c r="ES13" i="6"/>
  <c r="EN13" i="6"/>
  <c r="EI13" i="6"/>
  <c r="ED13" i="6"/>
  <c r="GB12" i="6"/>
  <c r="FW12" i="6"/>
  <c r="FR12" i="6"/>
  <c r="FM12" i="6"/>
  <c r="FH12" i="6"/>
  <c r="FC12" i="6"/>
  <c r="EX12" i="6"/>
  <c r="ES12" i="6"/>
  <c r="EN12" i="6"/>
  <c r="EI12" i="6"/>
  <c r="ED12" i="6"/>
  <c r="GB11" i="6"/>
  <c r="FW11" i="6"/>
  <c r="FR11" i="6"/>
  <c r="FM11" i="6"/>
  <c r="FH11" i="6"/>
  <c r="FC11" i="6"/>
  <c r="EX11" i="6"/>
  <c r="ES11" i="6"/>
  <c r="EN11" i="6"/>
  <c r="EI11" i="6"/>
  <c r="ED11" i="6"/>
  <c r="GB10" i="6"/>
  <c r="FW10" i="6"/>
  <c r="FR10" i="6"/>
  <c r="FM10" i="6"/>
  <c r="FH10" i="6"/>
  <c r="FC10" i="6"/>
  <c r="EX10" i="6"/>
  <c r="ES10" i="6"/>
  <c r="EN10" i="6"/>
  <c r="EI10" i="6"/>
  <c r="ED10" i="6"/>
  <c r="GB9" i="6"/>
  <c r="FW9" i="6"/>
  <c r="FR9" i="6"/>
  <c r="FM9" i="6"/>
  <c r="FH9" i="6"/>
  <c r="FC9" i="6"/>
  <c r="EX9" i="6"/>
  <c r="ES9" i="6"/>
  <c r="EN9" i="6"/>
  <c r="EI9" i="6"/>
  <c r="ED9" i="6"/>
  <c r="GB8" i="6"/>
  <c r="FW8" i="6"/>
  <c r="FR8" i="6"/>
  <c r="FM8" i="6"/>
  <c r="FH8" i="6"/>
  <c r="FC8" i="6"/>
  <c r="EX8" i="6"/>
  <c r="ES8" i="6"/>
  <c r="EN8" i="6"/>
  <c r="EI8" i="6"/>
  <c r="ED8" i="6"/>
  <c r="GB7" i="6"/>
  <c r="FW7" i="6"/>
  <c r="FR7" i="6"/>
  <c r="FM7" i="6"/>
  <c r="FH7" i="6"/>
  <c r="FC7" i="6"/>
  <c r="EX7" i="6"/>
  <c r="ES7" i="6"/>
  <c r="EN7" i="6"/>
  <c r="EI7" i="6"/>
  <c r="ED7" i="6"/>
  <c r="GB6" i="6"/>
  <c r="FW6" i="6"/>
  <c r="FR6" i="6"/>
  <c r="FM6" i="6"/>
  <c r="FH6" i="6"/>
  <c r="FC6" i="6"/>
  <c r="EX6" i="6"/>
  <c r="ES6" i="6"/>
  <c r="EN6" i="6"/>
  <c r="EI6" i="6"/>
  <c r="ED6" i="6"/>
  <c r="GB5" i="6"/>
  <c r="FW5" i="6"/>
  <c r="FR5" i="6"/>
  <c r="FM5" i="6"/>
  <c r="FH5" i="6"/>
  <c r="FC5" i="6"/>
  <c r="EX5" i="6"/>
  <c r="ES5" i="6"/>
  <c r="EN5" i="6"/>
  <c r="EI5" i="6"/>
  <c r="ED5" i="6"/>
  <c r="GB4" i="6"/>
  <c r="GB33" i="6" s="1"/>
  <c r="FW4" i="6"/>
  <c r="FW33" i="6" s="1"/>
  <c r="FR4" i="6"/>
  <c r="FM4" i="6"/>
  <c r="FH4" i="6"/>
  <c r="FC4" i="6"/>
  <c r="EX4" i="6"/>
  <c r="ES4" i="6"/>
  <c r="ES33" i="6" s="1"/>
  <c r="EN4" i="6"/>
  <c r="EN33" i="6" s="1"/>
  <c r="EI4" i="6"/>
  <c r="EI33" i="6" s="1"/>
  <c r="ED4" i="6"/>
  <c r="AC4" i="1"/>
  <c r="AC13" i="12" s="1"/>
  <c r="AD4" i="1"/>
  <c r="AD13" i="12" s="1"/>
  <c r="AC5" i="1"/>
  <c r="AC21" i="12" s="1"/>
  <c r="AD5" i="1"/>
  <c r="AD21" i="12" s="1"/>
  <c r="AC6" i="1"/>
  <c r="AC29" i="12" s="1"/>
  <c r="AD6" i="1"/>
  <c r="AD29" i="12" s="1"/>
  <c r="AC7" i="1"/>
  <c r="AC37" i="12" s="1"/>
  <c r="AD7" i="1"/>
  <c r="AD37" i="12" s="1"/>
  <c r="AC8" i="1"/>
  <c r="AD8" i="1"/>
  <c r="AD6" i="11" s="1"/>
  <c r="AC9" i="1"/>
  <c r="AC14" i="11" s="1"/>
  <c r="AD9" i="1"/>
  <c r="AD14" i="11" s="1"/>
  <c r="AC10" i="1"/>
  <c r="AC22" i="11" s="1"/>
  <c r="AD10" i="1"/>
  <c r="AD22" i="11" s="1"/>
  <c r="AC11" i="1"/>
  <c r="AC30" i="11" s="1"/>
  <c r="AD11" i="1"/>
  <c r="AD30" i="11" s="1"/>
  <c r="AC12" i="1"/>
  <c r="AC38" i="11" s="1"/>
  <c r="AD12" i="1"/>
  <c r="AD38" i="11" s="1"/>
  <c r="AC13" i="1"/>
  <c r="AD5" i="4" s="1"/>
  <c r="AD13" i="1"/>
  <c r="AE13" i="1"/>
  <c r="AC14" i="1"/>
  <c r="AD14" i="1"/>
  <c r="AE13" i="4" s="1"/>
  <c r="AC15" i="1"/>
  <c r="AD21" i="4" s="1"/>
  <c r="AP21" i="4" s="1"/>
  <c r="AD15" i="1"/>
  <c r="AE15" i="1"/>
  <c r="AC16" i="1"/>
  <c r="AD16" i="1"/>
  <c r="AE29" i="4" s="1"/>
  <c r="AC17" i="1"/>
  <c r="AD37" i="4" s="1"/>
  <c r="AD17" i="1"/>
  <c r="AE37" i="4" s="1"/>
  <c r="AC18" i="1"/>
  <c r="AD18" i="1"/>
  <c r="AE45" i="4" s="1"/>
  <c r="AC19" i="1"/>
  <c r="AD19" i="1"/>
  <c r="AE53" i="4" s="1"/>
  <c r="AC20" i="1"/>
  <c r="AD61" i="4" s="1"/>
  <c r="AD20" i="1"/>
  <c r="AE61" i="4" s="1"/>
  <c r="AC21" i="1"/>
  <c r="AD69" i="4" s="1"/>
  <c r="AD21" i="1"/>
  <c r="AE69" i="4" s="1"/>
  <c r="AC22" i="1"/>
  <c r="AD22" i="1"/>
  <c r="AE77" i="4" s="1"/>
  <c r="AC23" i="1"/>
  <c r="AD23" i="1"/>
  <c r="AE85" i="4" s="1"/>
  <c r="AD3" i="1"/>
  <c r="AF3" i="8"/>
  <c r="AG3" i="8"/>
  <c r="AH3" i="8"/>
  <c r="AI3" i="8"/>
  <c r="AJ3" i="8"/>
  <c r="AK3" i="8"/>
  <c r="AL3" i="8"/>
  <c r="AM3" i="8"/>
  <c r="AN3" i="8"/>
  <c r="AF4" i="8"/>
  <c r="AF4" i="1" s="1"/>
  <c r="AF13" i="12" s="1"/>
  <c r="AG4" i="8"/>
  <c r="AG4" i="1" s="1"/>
  <c r="AG13" i="12" s="1"/>
  <c r="AH4" i="8"/>
  <c r="AH4" i="1" s="1"/>
  <c r="AH13" i="12" s="1"/>
  <c r="AI4" i="8"/>
  <c r="AI4" i="1" s="1"/>
  <c r="AI13" i="12" s="1"/>
  <c r="AJ4" i="8"/>
  <c r="AK4" i="8"/>
  <c r="AK4" i="1" s="1"/>
  <c r="AK13" i="12" s="1"/>
  <c r="AL4" i="8"/>
  <c r="AL4" i="1" s="1"/>
  <c r="AL13" i="12" s="1"/>
  <c r="AM4" i="8"/>
  <c r="AM4" i="1" s="1"/>
  <c r="AM13" i="12" s="1"/>
  <c r="AN4" i="8"/>
  <c r="AN4" i="1" s="1"/>
  <c r="AN13" i="12" s="1"/>
  <c r="AF5" i="8"/>
  <c r="AF5" i="1" s="1"/>
  <c r="AF21" i="12" s="1"/>
  <c r="AG5" i="8"/>
  <c r="AG5" i="1" s="1"/>
  <c r="AG21" i="12" s="1"/>
  <c r="AH5" i="8"/>
  <c r="AH5" i="1" s="1"/>
  <c r="AH21" i="12" s="1"/>
  <c r="AI5" i="8"/>
  <c r="AI5" i="1" s="1"/>
  <c r="AI21" i="12" s="1"/>
  <c r="AJ5" i="8"/>
  <c r="AJ5" i="1" s="1"/>
  <c r="AJ21" i="12" s="1"/>
  <c r="AK5" i="8"/>
  <c r="AK5" i="1" s="1"/>
  <c r="AK21" i="12" s="1"/>
  <c r="AL5" i="8"/>
  <c r="AL5" i="1" s="1"/>
  <c r="AL21" i="12" s="1"/>
  <c r="AM5" i="8"/>
  <c r="AM5" i="1" s="1"/>
  <c r="AM21" i="12" s="1"/>
  <c r="AN5" i="8"/>
  <c r="AN5" i="1" s="1"/>
  <c r="AN21" i="12" s="1"/>
  <c r="AF6" i="8"/>
  <c r="AF6" i="1" s="1"/>
  <c r="AF29" i="12" s="1"/>
  <c r="AG6" i="8"/>
  <c r="AG6" i="1" s="1"/>
  <c r="AG29" i="12" s="1"/>
  <c r="AH6" i="8"/>
  <c r="AH6" i="1" s="1"/>
  <c r="AH29" i="12" s="1"/>
  <c r="AI6" i="8"/>
  <c r="AI6" i="1" s="1"/>
  <c r="AI29" i="12" s="1"/>
  <c r="AJ6" i="8"/>
  <c r="AJ6" i="1" s="1"/>
  <c r="AJ29" i="12" s="1"/>
  <c r="AK6" i="8"/>
  <c r="AK6" i="1" s="1"/>
  <c r="AK29" i="12" s="1"/>
  <c r="AL6" i="8"/>
  <c r="AL6" i="1" s="1"/>
  <c r="AL29" i="12" s="1"/>
  <c r="AM6" i="8"/>
  <c r="AM6" i="1" s="1"/>
  <c r="AM29" i="12" s="1"/>
  <c r="AN6" i="8"/>
  <c r="AN6" i="1" s="1"/>
  <c r="AN29" i="12" s="1"/>
  <c r="AF7" i="8"/>
  <c r="AF7" i="1" s="1"/>
  <c r="AF37" i="12" s="1"/>
  <c r="AG7" i="8"/>
  <c r="AG7" i="1" s="1"/>
  <c r="AG37" i="12" s="1"/>
  <c r="AH7" i="8"/>
  <c r="AH7" i="1" s="1"/>
  <c r="AH37" i="12" s="1"/>
  <c r="AI7" i="8"/>
  <c r="AI7" i="1" s="1"/>
  <c r="AI37" i="12" s="1"/>
  <c r="AJ7" i="8"/>
  <c r="AJ7" i="1" s="1"/>
  <c r="AJ37" i="12" s="1"/>
  <c r="AK7" i="8"/>
  <c r="AK7" i="1" s="1"/>
  <c r="AK37" i="12" s="1"/>
  <c r="AL7" i="8"/>
  <c r="AL7" i="1" s="1"/>
  <c r="AL37" i="12" s="1"/>
  <c r="AM7" i="8"/>
  <c r="AM7" i="1" s="1"/>
  <c r="AM37" i="12" s="1"/>
  <c r="AN7" i="8"/>
  <c r="AN7" i="1" s="1"/>
  <c r="AN37" i="12" s="1"/>
  <c r="AF8" i="8"/>
  <c r="AF8" i="1" s="1"/>
  <c r="AF6" i="11" s="1"/>
  <c r="AG8" i="8"/>
  <c r="AG8" i="1" s="1"/>
  <c r="AG6" i="11" s="1"/>
  <c r="AH8" i="8"/>
  <c r="AH8" i="1" s="1"/>
  <c r="AH6" i="11" s="1"/>
  <c r="AI8" i="8"/>
  <c r="AI8" i="1" s="1"/>
  <c r="AI6" i="11" s="1"/>
  <c r="AJ8" i="8"/>
  <c r="AJ8" i="1" s="1"/>
  <c r="AJ6" i="11" s="1"/>
  <c r="AK8" i="8"/>
  <c r="AK8" i="1" s="1"/>
  <c r="AK6" i="11" s="1"/>
  <c r="AL8" i="8"/>
  <c r="AL8" i="1" s="1"/>
  <c r="AL6" i="11" s="1"/>
  <c r="AM8" i="8"/>
  <c r="AM8" i="1" s="1"/>
  <c r="AM6" i="11" s="1"/>
  <c r="AN8" i="8"/>
  <c r="AN8" i="1" s="1"/>
  <c r="AN6" i="11" s="1"/>
  <c r="AF9" i="8"/>
  <c r="AF9" i="1" s="1"/>
  <c r="AF14" i="11" s="1"/>
  <c r="AG9" i="8"/>
  <c r="AG9" i="1" s="1"/>
  <c r="AG14" i="11" s="1"/>
  <c r="AH9" i="8"/>
  <c r="AH9" i="1" s="1"/>
  <c r="AH14" i="11" s="1"/>
  <c r="AI9" i="8"/>
  <c r="AI9" i="1" s="1"/>
  <c r="AI14" i="11" s="1"/>
  <c r="AJ9" i="8"/>
  <c r="AK9" i="8"/>
  <c r="AK9" i="1" s="1"/>
  <c r="AK14" i="11" s="1"/>
  <c r="AL9" i="8"/>
  <c r="AL9" i="1" s="1"/>
  <c r="AL14" i="11" s="1"/>
  <c r="AM9" i="8"/>
  <c r="AM9" i="1" s="1"/>
  <c r="AM14" i="11" s="1"/>
  <c r="AN9" i="8"/>
  <c r="AN9" i="1" s="1"/>
  <c r="AN14" i="11" s="1"/>
  <c r="AF10" i="8"/>
  <c r="AF10" i="1" s="1"/>
  <c r="AF22" i="11" s="1"/>
  <c r="AG10" i="8"/>
  <c r="AG10" i="1" s="1"/>
  <c r="AG22" i="11" s="1"/>
  <c r="AH10" i="8"/>
  <c r="AH10" i="1" s="1"/>
  <c r="AH22" i="11" s="1"/>
  <c r="AI10" i="8"/>
  <c r="AI10" i="1" s="1"/>
  <c r="AI22" i="11" s="1"/>
  <c r="AJ10" i="8"/>
  <c r="AJ10" i="1" s="1"/>
  <c r="AJ22" i="11" s="1"/>
  <c r="AK10" i="8"/>
  <c r="AK10" i="1" s="1"/>
  <c r="AK22" i="11" s="1"/>
  <c r="AL10" i="8"/>
  <c r="AL10" i="1" s="1"/>
  <c r="AL22" i="11" s="1"/>
  <c r="AM10" i="8"/>
  <c r="AM10" i="1" s="1"/>
  <c r="AM22" i="11" s="1"/>
  <c r="AN10" i="8"/>
  <c r="AN10" i="1" s="1"/>
  <c r="AN22" i="11" s="1"/>
  <c r="AF11" i="8"/>
  <c r="AF11" i="1" s="1"/>
  <c r="AF30" i="11" s="1"/>
  <c r="AG11" i="8"/>
  <c r="AG11" i="1" s="1"/>
  <c r="AG30" i="11" s="1"/>
  <c r="AH11" i="8"/>
  <c r="AH11" i="1" s="1"/>
  <c r="AH30" i="11" s="1"/>
  <c r="AI11" i="8"/>
  <c r="AI11" i="1" s="1"/>
  <c r="AI30" i="11" s="1"/>
  <c r="AJ11" i="8"/>
  <c r="AJ11" i="1" s="1"/>
  <c r="AJ30" i="11" s="1"/>
  <c r="AK11" i="8"/>
  <c r="AK11" i="1" s="1"/>
  <c r="AK30" i="11" s="1"/>
  <c r="AL11" i="8"/>
  <c r="AL11" i="1" s="1"/>
  <c r="AL30" i="11" s="1"/>
  <c r="AM11" i="8"/>
  <c r="AM11" i="1" s="1"/>
  <c r="AM30" i="11" s="1"/>
  <c r="AN11" i="8"/>
  <c r="AN11" i="1" s="1"/>
  <c r="AN30" i="11" s="1"/>
  <c r="AF12" i="8"/>
  <c r="AF12" i="1" s="1"/>
  <c r="AF38" i="11" s="1"/>
  <c r="AG12" i="8"/>
  <c r="AH12" i="8"/>
  <c r="AH12" i="1" s="1"/>
  <c r="AH38" i="11" s="1"/>
  <c r="AI12" i="8"/>
  <c r="AI12" i="1" s="1"/>
  <c r="AI38" i="11" s="1"/>
  <c r="AJ12" i="8"/>
  <c r="AK12" i="8"/>
  <c r="AK12" i="1" s="1"/>
  <c r="AK38" i="11" s="1"/>
  <c r="AL12" i="8"/>
  <c r="AL12" i="1" s="1"/>
  <c r="AL38" i="11" s="1"/>
  <c r="AM12" i="8"/>
  <c r="AM12" i="1" s="1"/>
  <c r="AM38" i="11" s="1"/>
  <c r="AN12" i="8"/>
  <c r="AN12" i="1" s="1"/>
  <c r="AN38" i="11" s="1"/>
  <c r="AF13" i="8"/>
  <c r="AF13" i="1" s="1"/>
  <c r="AG13" i="8"/>
  <c r="AG13" i="1" s="1"/>
  <c r="AH13" i="8"/>
  <c r="AH13" i="1" s="1"/>
  <c r="AI13" i="8"/>
  <c r="AI13" i="1" s="1"/>
  <c r="AJ13" i="8"/>
  <c r="AJ13" i="1" s="1"/>
  <c r="AK13" i="8"/>
  <c r="AK13" i="1" s="1"/>
  <c r="AL13" i="8"/>
  <c r="AL13" i="1" s="1"/>
  <c r="AM13" i="8"/>
  <c r="AM13" i="1" s="1"/>
  <c r="AN13" i="8"/>
  <c r="AN13" i="1" s="1"/>
  <c r="AF14" i="8"/>
  <c r="AF14" i="1" s="1"/>
  <c r="AG13" i="4" s="1"/>
  <c r="AG14" i="8"/>
  <c r="AG14" i="1" s="1"/>
  <c r="AH13" i="4" s="1"/>
  <c r="AH14" i="8"/>
  <c r="AH14" i="1" s="1"/>
  <c r="AI13" i="4" s="1"/>
  <c r="AI14" i="8"/>
  <c r="AI14" i="1" s="1"/>
  <c r="AJ13" i="4" s="1"/>
  <c r="AJ14" i="8"/>
  <c r="AJ14" i="1" s="1"/>
  <c r="AK13" i="4" s="1"/>
  <c r="AK14" i="8"/>
  <c r="AK14" i="1" s="1"/>
  <c r="AL13" i="4" s="1"/>
  <c r="AL14" i="8"/>
  <c r="AL14" i="1" s="1"/>
  <c r="AM13" i="4" s="1"/>
  <c r="AM14" i="8"/>
  <c r="AM14" i="1" s="1"/>
  <c r="AN13" i="4" s="1"/>
  <c r="AN14" i="8"/>
  <c r="AN14" i="1" s="1"/>
  <c r="AO13" i="4" s="1"/>
  <c r="AF15" i="8"/>
  <c r="AF15" i="1" s="1"/>
  <c r="AG15" i="8"/>
  <c r="AG15" i="1" s="1"/>
  <c r="AH15" i="8"/>
  <c r="AH15" i="1" s="1"/>
  <c r="AI15" i="8"/>
  <c r="AI15" i="1" s="1"/>
  <c r="AJ15" i="8"/>
  <c r="AJ15" i="1" s="1"/>
  <c r="AK15" i="8"/>
  <c r="AK15" i="1" s="1"/>
  <c r="AL15" i="8"/>
  <c r="AL15" i="1" s="1"/>
  <c r="AM15" i="8"/>
  <c r="AM15" i="1" s="1"/>
  <c r="AN15" i="8"/>
  <c r="AN15" i="1" s="1"/>
  <c r="AF16" i="8"/>
  <c r="AF16" i="1" s="1"/>
  <c r="AG29" i="4" s="1"/>
  <c r="AG16" i="8"/>
  <c r="AG16" i="1" s="1"/>
  <c r="AH29" i="4" s="1"/>
  <c r="AH16" i="8"/>
  <c r="AH16" i="1" s="1"/>
  <c r="AI29" i="4" s="1"/>
  <c r="AI16" i="8"/>
  <c r="AI16" i="1" s="1"/>
  <c r="AJ29" i="4" s="1"/>
  <c r="AJ16" i="8"/>
  <c r="AJ16" i="1" s="1"/>
  <c r="AK29" i="4" s="1"/>
  <c r="AK16" i="8"/>
  <c r="AK16" i="1" s="1"/>
  <c r="AL29" i="4" s="1"/>
  <c r="AL16" i="8"/>
  <c r="AL16" i="1" s="1"/>
  <c r="AM29" i="4" s="1"/>
  <c r="AM16" i="8"/>
  <c r="AM16" i="1" s="1"/>
  <c r="AN29" i="4" s="1"/>
  <c r="AN16" i="8"/>
  <c r="AN16" i="1" s="1"/>
  <c r="AO29" i="4" s="1"/>
  <c r="AF17" i="8"/>
  <c r="AF17" i="1" s="1"/>
  <c r="AG37" i="4" s="1"/>
  <c r="AG17" i="8"/>
  <c r="AG17" i="1" s="1"/>
  <c r="AH37" i="4" s="1"/>
  <c r="AH17" i="8"/>
  <c r="AH17" i="1" s="1"/>
  <c r="AI37" i="4" s="1"/>
  <c r="AI17" i="8"/>
  <c r="AI17" i="1" s="1"/>
  <c r="AJ37" i="4" s="1"/>
  <c r="AJ17" i="8"/>
  <c r="AJ17" i="1" s="1"/>
  <c r="AK37" i="4" s="1"/>
  <c r="AK17" i="8"/>
  <c r="AK17" i="1" s="1"/>
  <c r="AL37" i="4" s="1"/>
  <c r="AL17" i="8"/>
  <c r="AL17" i="1" s="1"/>
  <c r="AM37" i="4" s="1"/>
  <c r="AM17" i="8"/>
  <c r="AM17" i="1" s="1"/>
  <c r="AN37" i="4" s="1"/>
  <c r="AN17" i="8"/>
  <c r="AN17" i="1" s="1"/>
  <c r="AO37" i="4" s="1"/>
  <c r="AF18" i="8"/>
  <c r="AF18" i="1" s="1"/>
  <c r="AG45" i="4" s="1"/>
  <c r="AG18" i="8"/>
  <c r="AG18" i="1" s="1"/>
  <c r="AH45" i="4" s="1"/>
  <c r="AH18" i="8"/>
  <c r="AH18" i="1" s="1"/>
  <c r="AI45" i="4" s="1"/>
  <c r="AI18" i="8"/>
  <c r="AI18" i="1" s="1"/>
  <c r="AJ45" i="4" s="1"/>
  <c r="AJ18" i="8"/>
  <c r="AJ18" i="1" s="1"/>
  <c r="AK45" i="4" s="1"/>
  <c r="AK18" i="8"/>
  <c r="AK18" i="1" s="1"/>
  <c r="AL45" i="4" s="1"/>
  <c r="AL18" i="8"/>
  <c r="AL18" i="1" s="1"/>
  <c r="AM45" i="4" s="1"/>
  <c r="AM18" i="8"/>
  <c r="AM18" i="1" s="1"/>
  <c r="AN45" i="4" s="1"/>
  <c r="AN18" i="8"/>
  <c r="AN18" i="1" s="1"/>
  <c r="AO45" i="4" s="1"/>
  <c r="AF19" i="8"/>
  <c r="AF19" i="1" s="1"/>
  <c r="AG53" i="4" s="1"/>
  <c r="AG19" i="8"/>
  <c r="AG19" i="1" s="1"/>
  <c r="AH53" i="4" s="1"/>
  <c r="AH19" i="8"/>
  <c r="AH19" i="1" s="1"/>
  <c r="AI53" i="4" s="1"/>
  <c r="AI19" i="8"/>
  <c r="AI19" i="1" s="1"/>
  <c r="AJ53" i="4" s="1"/>
  <c r="AJ19" i="8"/>
  <c r="AJ19" i="1" s="1"/>
  <c r="AK53" i="4" s="1"/>
  <c r="AK19" i="8"/>
  <c r="AK19" i="1" s="1"/>
  <c r="AL53" i="4" s="1"/>
  <c r="AL19" i="8"/>
  <c r="AL19" i="1" s="1"/>
  <c r="AM53" i="4" s="1"/>
  <c r="AM19" i="8"/>
  <c r="AM19" i="1" s="1"/>
  <c r="AN53" i="4" s="1"/>
  <c r="AN19" i="8"/>
  <c r="AN19" i="1" s="1"/>
  <c r="AO53" i="4" s="1"/>
  <c r="AF20" i="8"/>
  <c r="AF20" i="1" s="1"/>
  <c r="AG61" i="4" s="1"/>
  <c r="AG20" i="8"/>
  <c r="AG20" i="1" s="1"/>
  <c r="AH61" i="4" s="1"/>
  <c r="AH20" i="8"/>
  <c r="AH20" i="1" s="1"/>
  <c r="AI61" i="4" s="1"/>
  <c r="AI20" i="8"/>
  <c r="AI20" i="1" s="1"/>
  <c r="AJ61" i="4" s="1"/>
  <c r="AJ20" i="8"/>
  <c r="AJ20" i="1" s="1"/>
  <c r="AK61" i="4" s="1"/>
  <c r="AK20" i="8"/>
  <c r="AK20" i="1" s="1"/>
  <c r="AL61" i="4" s="1"/>
  <c r="AL20" i="8"/>
  <c r="AL20" i="1" s="1"/>
  <c r="AM61" i="4" s="1"/>
  <c r="AM20" i="8"/>
  <c r="AM20" i="1" s="1"/>
  <c r="AN61" i="4" s="1"/>
  <c r="AN20" i="8"/>
  <c r="AN20" i="1" s="1"/>
  <c r="AO61" i="4" s="1"/>
  <c r="AF21" i="8"/>
  <c r="AF21" i="1" s="1"/>
  <c r="AG69" i="4" s="1"/>
  <c r="AG21" i="8"/>
  <c r="AG21" i="1" s="1"/>
  <c r="AH69" i="4" s="1"/>
  <c r="AH21" i="8"/>
  <c r="AH21" i="1" s="1"/>
  <c r="AI69" i="4" s="1"/>
  <c r="AI21" i="8"/>
  <c r="AI21" i="1" s="1"/>
  <c r="AJ69" i="4" s="1"/>
  <c r="AJ21" i="8"/>
  <c r="AJ21" i="1" s="1"/>
  <c r="AK69" i="4" s="1"/>
  <c r="AK21" i="8"/>
  <c r="AK21" i="1" s="1"/>
  <c r="AL69" i="4" s="1"/>
  <c r="AL21" i="8"/>
  <c r="AL21" i="1" s="1"/>
  <c r="AM69" i="4" s="1"/>
  <c r="AM21" i="8"/>
  <c r="AM21" i="1" s="1"/>
  <c r="AN69" i="4" s="1"/>
  <c r="AN21" i="8"/>
  <c r="AN21" i="1" s="1"/>
  <c r="AO69" i="4" s="1"/>
  <c r="AF22" i="8"/>
  <c r="AF22" i="1" s="1"/>
  <c r="AG77" i="4" s="1"/>
  <c r="AG22" i="8"/>
  <c r="AG22" i="1" s="1"/>
  <c r="AH77" i="4" s="1"/>
  <c r="AH22" i="8"/>
  <c r="AI22" i="8"/>
  <c r="AI22" i="1" s="1"/>
  <c r="AJ77" i="4" s="1"/>
  <c r="AJ22" i="8"/>
  <c r="AJ22" i="1" s="1"/>
  <c r="AK77" i="4" s="1"/>
  <c r="AK22" i="8"/>
  <c r="AK22" i="1" s="1"/>
  <c r="AL77" i="4" s="1"/>
  <c r="AL22" i="8"/>
  <c r="AL22" i="1" s="1"/>
  <c r="AM77" i="4" s="1"/>
  <c r="AM22" i="8"/>
  <c r="AM22" i="1" s="1"/>
  <c r="AN77" i="4" s="1"/>
  <c r="AN22" i="8"/>
  <c r="AN22" i="1" s="1"/>
  <c r="AO77" i="4" s="1"/>
  <c r="AF23" i="8"/>
  <c r="AF23" i="1" s="1"/>
  <c r="AG85" i="4" s="1"/>
  <c r="AG23" i="8"/>
  <c r="AG23" i="1" s="1"/>
  <c r="AH85" i="4" s="1"/>
  <c r="AH23" i="8"/>
  <c r="AH23" i="1" s="1"/>
  <c r="AI85" i="4" s="1"/>
  <c r="AI23" i="8"/>
  <c r="AI23" i="1" s="1"/>
  <c r="AJ85" i="4" s="1"/>
  <c r="AJ23" i="8"/>
  <c r="AJ23" i="1" s="1"/>
  <c r="AK85" i="4" s="1"/>
  <c r="AK23" i="8"/>
  <c r="AK23" i="1" s="1"/>
  <c r="AL85" i="4" s="1"/>
  <c r="AL23" i="8"/>
  <c r="AL23" i="1" s="1"/>
  <c r="AM85" i="4" s="1"/>
  <c r="AM23" i="8"/>
  <c r="AM23" i="1" s="1"/>
  <c r="AN85" i="4" s="1"/>
  <c r="AN23" i="8"/>
  <c r="AN23" i="1" s="1"/>
  <c r="AO85" i="4" s="1"/>
  <c r="AE4" i="8"/>
  <c r="AE4" i="1" s="1"/>
  <c r="AE13" i="12" s="1"/>
  <c r="AE5" i="8"/>
  <c r="AE5" i="1" s="1"/>
  <c r="AE21" i="12" s="1"/>
  <c r="AE6" i="8"/>
  <c r="AE6" i="1" s="1"/>
  <c r="AE29" i="12" s="1"/>
  <c r="AE7" i="8"/>
  <c r="AE7" i="1" s="1"/>
  <c r="AE37" i="12" s="1"/>
  <c r="AE8" i="8"/>
  <c r="AE8" i="1" s="1"/>
  <c r="AE6" i="11" s="1"/>
  <c r="AE9" i="8"/>
  <c r="AE9" i="1" s="1"/>
  <c r="AE14" i="11" s="1"/>
  <c r="AE10" i="8"/>
  <c r="AE10" i="1" s="1"/>
  <c r="AE22" i="11" s="1"/>
  <c r="AE11" i="8"/>
  <c r="AE11" i="1" s="1"/>
  <c r="AE30" i="11" s="1"/>
  <c r="AE12" i="8"/>
  <c r="AE14" i="8"/>
  <c r="AE14" i="1" s="1"/>
  <c r="AF13" i="4" s="1"/>
  <c r="AE16" i="8"/>
  <c r="AE16" i="1" s="1"/>
  <c r="AF29" i="4" s="1"/>
  <c r="AE17" i="8"/>
  <c r="AE17" i="1" s="1"/>
  <c r="AF37" i="4" s="1"/>
  <c r="AE18" i="8"/>
  <c r="AE18" i="1" s="1"/>
  <c r="AF45" i="4" s="1"/>
  <c r="AE19" i="8"/>
  <c r="AE19" i="1" s="1"/>
  <c r="AF53" i="4" s="1"/>
  <c r="AE20" i="8"/>
  <c r="AE20" i="1" s="1"/>
  <c r="AF61" i="4" s="1"/>
  <c r="AE21" i="8"/>
  <c r="AE21" i="1" s="1"/>
  <c r="AF69" i="4" s="1"/>
  <c r="AE22" i="8"/>
  <c r="AE22" i="1" s="1"/>
  <c r="AF77" i="4" s="1"/>
  <c r="AE23" i="8"/>
  <c r="AE3" i="8"/>
  <c r="BP5" i="6"/>
  <c r="BP6" i="6"/>
  <c r="BP7" i="6"/>
  <c r="BP8" i="6"/>
  <c r="BP9" i="6"/>
  <c r="BP10" i="6"/>
  <c r="BP11" i="6"/>
  <c r="BP12" i="6"/>
  <c r="BP13" i="6"/>
  <c r="BP14" i="6"/>
  <c r="BP15" i="6"/>
  <c r="Q14" i="4" s="1"/>
  <c r="BP16" i="6"/>
  <c r="BP17" i="6"/>
  <c r="BP18" i="6"/>
  <c r="BP19" i="6"/>
  <c r="BP21" i="6"/>
  <c r="BP22" i="6"/>
  <c r="BP23" i="6"/>
  <c r="R30" i="4"/>
  <c r="AC3" i="1"/>
  <c r="BI10" i="14"/>
  <c r="BI11" i="14"/>
  <c r="BI12" i="14"/>
  <c r="BI13" i="14"/>
  <c r="BI9" i="14"/>
  <c r="BP4" i="6"/>
  <c r="BP33" i="6" s="1"/>
  <c r="BP34" i="6" s="1"/>
  <c r="P3" i="3"/>
  <c r="Q3" i="3"/>
  <c r="R3" i="3"/>
  <c r="S3" i="3"/>
  <c r="T3" i="3"/>
  <c r="U3" i="3"/>
  <c r="V3" i="3"/>
  <c r="W3" i="3"/>
  <c r="X3" i="3"/>
  <c r="Y3" i="3"/>
  <c r="Z3" i="3"/>
  <c r="P4" i="3"/>
  <c r="Q4" i="3"/>
  <c r="R4" i="3"/>
  <c r="S4" i="3"/>
  <c r="T4" i="3"/>
  <c r="U4" i="3"/>
  <c r="V4" i="3"/>
  <c r="W4" i="3"/>
  <c r="X4" i="3"/>
  <c r="Y4" i="3"/>
  <c r="Z4" i="3"/>
  <c r="P5" i="3"/>
  <c r="Q5" i="3"/>
  <c r="R5" i="3"/>
  <c r="S5" i="3"/>
  <c r="T5" i="3"/>
  <c r="U5" i="3"/>
  <c r="V5" i="3"/>
  <c r="W5" i="3"/>
  <c r="X5" i="3"/>
  <c r="Y5" i="3"/>
  <c r="Z5" i="3"/>
  <c r="P6" i="3"/>
  <c r="Q6" i="3"/>
  <c r="R6" i="3"/>
  <c r="S6" i="3"/>
  <c r="T6" i="3"/>
  <c r="U6" i="3"/>
  <c r="V6" i="3"/>
  <c r="W6" i="3"/>
  <c r="X6" i="3"/>
  <c r="Y6" i="3"/>
  <c r="Z6" i="3"/>
  <c r="P7" i="3"/>
  <c r="Q7" i="3"/>
  <c r="R7" i="3"/>
  <c r="S7" i="3"/>
  <c r="T7" i="3"/>
  <c r="U7" i="3"/>
  <c r="V7" i="3"/>
  <c r="W7" i="3"/>
  <c r="X7" i="3"/>
  <c r="Y7" i="3"/>
  <c r="Z7" i="3"/>
  <c r="P8" i="3"/>
  <c r="Q8" i="3"/>
  <c r="R8" i="3"/>
  <c r="S8" i="3"/>
  <c r="T8" i="3"/>
  <c r="U8" i="3"/>
  <c r="V8" i="3"/>
  <c r="W8" i="3"/>
  <c r="X8" i="3"/>
  <c r="Y8" i="3"/>
  <c r="Z8" i="3"/>
  <c r="P9" i="3"/>
  <c r="Q9" i="3"/>
  <c r="R9" i="3"/>
  <c r="S9" i="3"/>
  <c r="T9" i="3"/>
  <c r="U9" i="3"/>
  <c r="V9" i="3"/>
  <c r="W9" i="3"/>
  <c r="X9" i="3"/>
  <c r="Y9" i="3"/>
  <c r="Z9" i="3"/>
  <c r="P10" i="3"/>
  <c r="Q10" i="3"/>
  <c r="R10" i="3"/>
  <c r="S10" i="3"/>
  <c r="T10" i="3"/>
  <c r="U10" i="3"/>
  <c r="V10" i="3"/>
  <c r="W10" i="3"/>
  <c r="X10" i="3"/>
  <c r="Y10" i="3"/>
  <c r="Z10" i="3"/>
  <c r="P11" i="3"/>
  <c r="Q11" i="3"/>
  <c r="R11" i="3"/>
  <c r="S11" i="3"/>
  <c r="T11" i="3"/>
  <c r="U11" i="3"/>
  <c r="V11" i="3"/>
  <c r="W11" i="3"/>
  <c r="X11" i="3"/>
  <c r="Y11" i="3"/>
  <c r="Z11" i="3"/>
  <c r="P12" i="3"/>
  <c r="Q12" i="3"/>
  <c r="R12" i="3"/>
  <c r="S12" i="3"/>
  <c r="T12" i="3"/>
  <c r="U12" i="3"/>
  <c r="V12" i="3"/>
  <c r="W12" i="3"/>
  <c r="X12" i="3"/>
  <c r="Y12" i="3"/>
  <c r="Z12" i="3"/>
  <c r="P13" i="3"/>
  <c r="Q13" i="3"/>
  <c r="R13" i="3"/>
  <c r="S13" i="3"/>
  <c r="T13" i="3"/>
  <c r="U13" i="3"/>
  <c r="V13" i="3"/>
  <c r="W13" i="3"/>
  <c r="X13" i="3"/>
  <c r="Y13" i="3"/>
  <c r="Z13" i="3"/>
  <c r="P14" i="3"/>
  <c r="Q14" i="3"/>
  <c r="R14" i="3"/>
  <c r="S14" i="3"/>
  <c r="T14" i="3"/>
  <c r="U14" i="3"/>
  <c r="V14" i="3"/>
  <c r="W14" i="3"/>
  <c r="X14" i="3"/>
  <c r="Y14" i="3"/>
  <c r="Z14" i="3"/>
  <c r="P15" i="3"/>
  <c r="Q15" i="3"/>
  <c r="R15" i="3"/>
  <c r="S15" i="3"/>
  <c r="T15" i="3"/>
  <c r="U15" i="3"/>
  <c r="V15" i="3"/>
  <c r="W15" i="3"/>
  <c r="X15" i="3"/>
  <c r="Y15" i="3"/>
  <c r="Z15" i="3"/>
  <c r="P16" i="3"/>
  <c r="Q16" i="3"/>
  <c r="R16" i="3"/>
  <c r="S16" i="3"/>
  <c r="T16" i="3"/>
  <c r="U16" i="3"/>
  <c r="V16" i="3"/>
  <c r="W16" i="3"/>
  <c r="X16" i="3"/>
  <c r="Y16" i="3"/>
  <c r="Z16" i="3"/>
  <c r="P17" i="3"/>
  <c r="Q17" i="3"/>
  <c r="R17" i="3"/>
  <c r="S17" i="3"/>
  <c r="T17" i="3"/>
  <c r="U17" i="3"/>
  <c r="V17" i="3"/>
  <c r="W17" i="3"/>
  <c r="X17" i="3"/>
  <c r="Y17" i="3"/>
  <c r="Z17" i="3"/>
  <c r="P18" i="3"/>
  <c r="Q18" i="3"/>
  <c r="R18" i="3"/>
  <c r="S18" i="3"/>
  <c r="T18" i="3"/>
  <c r="U18" i="3"/>
  <c r="V18" i="3"/>
  <c r="W18" i="3"/>
  <c r="X18" i="3"/>
  <c r="Y18" i="3"/>
  <c r="Z18" i="3"/>
  <c r="P19" i="3"/>
  <c r="Q19" i="3"/>
  <c r="R19" i="3"/>
  <c r="S19" i="3"/>
  <c r="T19" i="3"/>
  <c r="U19" i="3"/>
  <c r="V19" i="3"/>
  <c r="W19" i="3"/>
  <c r="X19" i="3"/>
  <c r="Y19" i="3"/>
  <c r="Z19" i="3"/>
  <c r="P20" i="3"/>
  <c r="Q20" i="3"/>
  <c r="R20" i="3"/>
  <c r="S20" i="3"/>
  <c r="T20" i="3"/>
  <c r="U20" i="3"/>
  <c r="V20" i="3"/>
  <c r="W20" i="3"/>
  <c r="X20" i="3"/>
  <c r="Y20" i="3"/>
  <c r="Z20" i="3"/>
  <c r="P21" i="3"/>
  <c r="Q21" i="3"/>
  <c r="R21" i="3"/>
  <c r="S21" i="3"/>
  <c r="T21" i="3"/>
  <c r="U21" i="3"/>
  <c r="V21" i="3"/>
  <c r="W21" i="3"/>
  <c r="X21" i="3"/>
  <c r="Y21" i="3"/>
  <c r="Z21" i="3"/>
  <c r="P22" i="3"/>
  <c r="Q22" i="3"/>
  <c r="R22" i="3"/>
  <c r="S22" i="3"/>
  <c r="T22" i="3"/>
  <c r="U22" i="3"/>
  <c r="V22" i="3"/>
  <c r="W22" i="3"/>
  <c r="X22" i="3"/>
  <c r="Y22" i="3"/>
  <c r="Z22" i="3"/>
  <c r="P23" i="3"/>
  <c r="Q23" i="3"/>
  <c r="R23" i="3"/>
  <c r="S23" i="3"/>
  <c r="T23" i="3"/>
  <c r="U23" i="3"/>
  <c r="V23" i="3"/>
  <c r="W23" i="3"/>
  <c r="X23" i="3"/>
  <c r="Y23" i="3"/>
  <c r="Z23" i="3"/>
  <c r="O4" i="3"/>
  <c r="O5" i="3"/>
  <c r="AA5" i="3" s="1"/>
  <c r="O6" i="3"/>
  <c r="O7" i="3"/>
  <c r="O8" i="3"/>
  <c r="O9" i="3"/>
  <c r="O10" i="3"/>
  <c r="O11" i="3"/>
  <c r="O12" i="3"/>
  <c r="O13" i="3"/>
  <c r="AA13" i="3" s="1"/>
  <c r="O14" i="3"/>
  <c r="O15" i="3"/>
  <c r="O16" i="3"/>
  <c r="O17" i="3"/>
  <c r="O18" i="3"/>
  <c r="O19" i="3"/>
  <c r="O20" i="3"/>
  <c r="O21" i="3"/>
  <c r="AA21" i="3" s="1"/>
  <c r="O22" i="3"/>
  <c r="O23" i="3"/>
  <c r="O3" i="3"/>
  <c r="P24" i="3"/>
  <c r="Q24" i="3"/>
  <c r="R24" i="3"/>
  <c r="W34" i="2"/>
  <c r="X24" i="3"/>
  <c r="Y24" i="3"/>
  <c r="AB3" i="8"/>
  <c r="AB4" i="8"/>
  <c r="K13" i="4"/>
  <c r="AA16" i="2"/>
  <c r="AA18" i="2"/>
  <c r="AA4" i="2"/>
  <c r="AA5" i="2"/>
  <c r="AA6" i="2"/>
  <c r="AA7" i="2"/>
  <c r="AA8" i="2"/>
  <c r="AA9" i="2"/>
  <c r="AA10" i="2"/>
  <c r="AA13" i="2"/>
  <c r="AA14" i="2"/>
  <c r="AA15" i="2"/>
  <c r="AA17" i="2"/>
  <c r="AA19" i="2"/>
  <c r="AA20" i="2"/>
  <c r="AA21" i="2"/>
  <c r="AA23" i="2"/>
  <c r="AA3" i="2"/>
  <c r="Q37" i="4"/>
  <c r="U32" i="1" l="1"/>
  <c r="U35" i="1" s="1"/>
  <c r="CC33" i="14"/>
  <c r="BK30" i="14"/>
  <c r="AF63" i="4"/>
  <c r="GC21" i="14"/>
  <c r="AG71" i="4"/>
  <c r="AP71" i="4" s="1"/>
  <c r="GC22" i="14"/>
  <c r="GC14" i="14"/>
  <c r="AE23" i="12"/>
  <c r="GC6" i="14"/>
  <c r="GC27" i="14"/>
  <c r="AP63" i="4"/>
  <c r="AO23" i="12"/>
  <c r="AF87" i="4"/>
  <c r="GC24" i="14"/>
  <c r="FR4" i="14"/>
  <c r="AL7" i="12" s="1"/>
  <c r="DO33" i="14"/>
  <c r="FM6" i="14"/>
  <c r="AK23" i="12" s="1"/>
  <c r="CG33" i="14"/>
  <c r="CL33" i="14"/>
  <c r="DA33" i="14"/>
  <c r="DP33" i="14"/>
  <c r="AP38" i="4"/>
  <c r="BK26" i="14"/>
  <c r="BK25" i="14"/>
  <c r="FH5" i="14"/>
  <c r="AJ15" i="12" s="1"/>
  <c r="CM33" i="14"/>
  <c r="DB33" i="14"/>
  <c r="DQ33" i="14"/>
  <c r="FU33" i="14"/>
  <c r="EQ33" i="14"/>
  <c r="EB33" i="14"/>
  <c r="FC4" i="14"/>
  <c r="AI7" i="12" s="1"/>
  <c r="CN33" i="14"/>
  <c r="DC33" i="14"/>
  <c r="DR33" i="14"/>
  <c r="DG33" i="14"/>
  <c r="EX6" i="14"/>
  <c r="AH23" i="12" s="1"/>
  <c r="CU33" i="14"/>
  <c r="DJ33" i="14"/>
  <c r="EG33" i="14"/>
  <c r="FW33" i="14"/>
  <c r="GC16" i="14"/>
  <c r="EN4" i="14"/>
  <c r="AF7" i="12" s="1"/>
  <c r="CW33" i="14"/>
  <c r="DL33" i="14"/>
  <c r="AP54" i="4"/>
  <c r="AP62" i="4"/>
  <c r="AP78" i="4"/>
  <c r="AP86" i="4"/>
  <c r="AP70" i="4"/>
  <c r="CX33" i="14"/>
  <c r="DM33" i="14"/>
  <c r="GC17" i="14"/>
  <c r="DU33" i="14"/>
  <c r="AO39" i="12"/>
  <c r="CQ33" i="14"/>
  <c r="DF33" i="14"/>
  <c r="AP30" i="4"/>
  <c r="AO28" i="1"/>
  <c r="T32" i="1"/>
  <c r="T35" i="1" s="1"/>
  <c r="AA32" i="1"/>
  <c r="AA35" i="1" s="1"/>
  <c r="Y32" i="1"/>
  <c r="Y35" i="1" s="1"/>
  <c r="W32" i="1"/>
  <c r="W35" i="1" s="1"/>
  <c r="R32" i="1"/>
  <c r="R35" i="1" s="1"/>
  <c r="Z32" i="1"/>
  <c r="Z35" i="1" s="1"/>
  <c r="X32" i="1"/>
  <c r="X35" i="1" s="1"/>
  <c r="V32" i="1"/>
  <c r="V35" i="1" s="1"/>
  <c r="AB22" i="1"/>
  <c r="S32" i="1"/>
  <c r="S35" i="1" s="1"/>
  <c r="AB24" i="1"/>
  <c r="Q32" i="1"/>
  <c r="Q35" i="1" s="1"/>
  <c r="AC32" i="1"/>
  <c r="AC35" i="1" s="1"/>
  <c r="AC5" i="12"/>
  <c r="AD32" i="1"/>
  <c r="AD35" i="1" s="1"/>
  <c r="AD5" i="12"/>
  <c r="AP69" i="4"/>
  <c r="AP61" i="4"/>
  <c r="AP37" i="4"/>
  <c r="AO30" i="11"/>
  <c r="AO22" i="11"/>
  <c r="AO37" i="12"/>
  <c r="AO29" i="12"/>
  <c r="AO21" i="12"/>
  <c r="M32" i="1"/>
  <c r="M35" i="1" s="1"/>
  <c r="M34" i="1"/>
  <c r="AF29" i="8"/>
  <c r="AF29" i="1" s="1"/>
  <c r="AF30" i="8"/>
  <c r="AF30" i="1" s="1"/>
  <c r="AF31" i="8"/>
  <c r="AF31" i="1" s="1"/>
  <c r="AB30" i="1"/>
  <c r="AB28" i="1"/>
  <c r="CK33" i="14"/>
  <c r="CZ33" i="14"/>
  <c r="AP55" i="4"/>
  <c r="AP39" i="4"/>
  <c r="AP31" i="4"/>
  <c r="AO40" i="11"/>
  <c r="AG31" i="4"/>
  <c r="AO31" i="12"/>
  <c r="GC12" i="14"/>
  <c r="GC10" i="14"/>
  <c r="AH8" i="11"/>
  <c r="ES33" i="14"/>
  <c r="GC5" i="14"/>
  <c r="GC4" i="14"/>
  <c r="AD16" i="11"/>
  <c r="AG40" i="11"/>
  <c r="AO15" i="12"/>
  <c r="GC18" i="14"/>
  <c r="DY33" i="14"/>
  <c r="AL16" i="11"/>
  <c r="GC19" i="14"/>
  <c r="FH33" i="14"/>
  <c r="GB33" i="14"/>
  <c r="EN33" i="14"/>
  <c r="GC20" i="14"/>
  <c r="EX33" i="14"/>
  <c r="AG32" i="11"/>
  <c r="AP87" i="4"/>
  <c r="AP79" i="4"/>
  <c r="AP47" i="4"/>
  <c r="AP15" i="4"/>
  <c r="AM8" i="11"/>
  <c r="AD32" i="11"/>
  <c r="EI33" i="14"/>
  <c r="FR33" i="14"/>
  <c r="AF8" i="11"/>
  <c r="AN8" i="11"/>
  <c r="AJ16" i="11"/>
  <c r="GC11" i="14"/>
  <c r="AE8" i="11"/>
  <c r="AO8" i="11" s="1"/>
  <c r="AI16" i="11"/>
  <c r="GC13" i="14"/>
  <c r="AG8" i="11"/>
  <c r="AC16" i="11"/>
  <c r="AK16" i="11"/>
  <c r="AE16" i="11"/>
  <c r="AF16" i="11"/>
  <c r="AN16" i="11"/>
  <c r="AF24" i="11"/>
  <c r="AO24" i="11" s="1"/>
  <c r="GC9" i="14"/>
  <c r="GC8" i="14"/>
  <c r="FC33" i="14"/>
  <c r="AD7" i="12"/>
  <c r="AH15" i="12"/>
  <c r="ED33" i="14"/>
  <c r="DY33" i="6"/>
  <c r="AP46" i="4"/>
  <c r="FH33" i="6"/>
  <c r="EX33" i="6"/>
  <c r="EX34" i="6" s="1"/>
  <c r="FC33" i="6"/>
  <c r="FC34" i="6" s="1"/>
  <c r="FM33" i="6"/>
  <c r="FM34" i="6" s="1"/>
  <c r="ED33" i="6"/>
  <c r="ED34" i="6" s="1"/>
  <c r="FR33" i="6"/>
  <c r="FR34" i="6" s="1"/>
  <c r="AP14" i="4"/>
  <c r="CS33" i="14"/>
  <c r="CI33" i="14"/>
  <c r="CP33" i="14"/>
  <c r="CF33" i="14"/>
  <c r="AB26" i="1"/>
  <c r="AB31" i="1"/>
  <c r="AB29" i="1"/>
  <c r="AB27" i="1"/>
  <c r="AA34" i="1"/>
  <c r="Z34" i="1"/>
  <c r="Y34" i="1"/>
  <c r="X34" i="1"/>
  <c r="T34" i="1"/>
  <c r="W34" i="1"/>
  <c r="U34" i="1"/>
  <c r="S34" i="1"/>
  <c r="V34" i="1"/>
  <c r="R34" i="1"/>
  <c r="Q34" i="1"/>
  <c r="AB25" i="1"/>
  <c r="AD34" i="1"/>
  <c r="AD45" i="4"/>
  <c r="AP45" i="4" s="1"/>
  <c r="AC34" i="1"/>
  <c r="AB32" i="8"/>
  <c r="AB33" i="8" s="1"/>
  <c r="AB34" i="8"/>
  <c r="AB35" i="8" s="1"/>
  <c r="AE3" i="1"/>
  <c r="AE32" i="8"/>
  <c r="AE34" i="8"/>
  <c r="AN32" i="8"/>
  <c r="AN34" i="8"/>
  <c r="AM32" i="8"/>
  <c r="AM34" i="8"/>
  <c r="AL32" i="8"/>
  <c r="AL34" i="8"/>
  <c r="AK32" i="8"/>
  <c r="AJ32" i="8"/>
  <c r="AI32" i="8"/>
  <c r="AH32" i="8"/>
  <c r="AG32" i="8"/>
  <c r="AF32" i="8"/>
  <c r="AF34" i="8"/>
  <c r="AG30" i="8"/>
  <c r="AG30" i="1" s="1"/>
  <c r="AO27" i="8"/>
  <c r="BZ33" i="6"/>
  <c r="BZ34" i="6" s="1"/>
  <c r="CJ32" i="14"/>
  <c r="DT32" i="14" s="1"/>
  <c r="CJ31" i="14"/>
  <c r="DT31" i="14" s="1"/>
  <c r="CJ30" i="14"/>
  <c r="DT30" i="14" s="1"/>
  <c r="CJ29" i="14"/>
  <c r="DT29" i="14" s="1"/>
  <c r="CJ28" i="14"/>
  <c r="DT28" i="14" s="1"/>
  <c r="CJ27" i="14"/>
  <c r="DT27" i="14" s="1"/>
  <c r="CJ26" i="14"/>
  <c r="DT26" i="14" s="1"/>
  <c r="CJ25" i="14"/>
  <c r="DT25" i="14" s="1"/>
  <c r="GC7" i="14"/>
  <c r="GC15" i="14"/>
  <c r="GC23" i="14"/>
  <c r="AG3" i="1"/>
  <c r="AE23" i="1"/>
  <c r="AF85" i="4" s="1"/>
  <c r="O25" i="1"/>
  <c r="O24" i="3"/>
  <c r="AA24" i="3" s="1"/>
  <c r="O34" i="2"/>
  <c r="Z34" i="2"/>
  <c r="Z24" i="3"/>
  <c r="V24" i="3"/>
  <c r="V34" i="2"/>
  <c r="U24" i="3"/>
  <c r="U34" i="2"/>
  <c r="T24" i="3"/>
  <c r="T34" i="2"/>
  <c r="S24" i="3"/>
  <c r="S34" i="2"/>
  <c r="AA23" i="3"/>
  <c r="AA15" i="3"/>
  <c r="AA7" i="3"/>
  <c r="AN3" i="1"/>
  <c r="AM3" i="1"/>
  <c r="AL3" i="1"/>
  <c r="AJ3" i="1"/>
  <c r="AI3" i="1"/>
  <c r="AH3" i="1"/>
  <c r="AF3" i="1"/>
  <c r="O24" i="1"/>
  <c r="AG12" i="1"/>
  <c r="AG38" i="11" s="1"/>
  <c r="AE12" i="1"/>
  <c r="AE38" i="11" s="1"/>
  <c r="N30" i="21"/>
  <c r="AO7" i="8"/>
  <c r="AJ9" i="1"/>
  <c r="AO5" i="8"/>
  <c r="AO23" i="8"/>
  <c r="AO16" i="8"/>
  <c r="AO18" i="8"/>
  <c r="AO14" i="8"/>
  <c r="AO15" i="8"/>
  <c r="AO22" i="8"/>
  <c r="AO20" i="8"/>
  <c r="AO19" i="8"/>
  <c r="AO12" i="8"/>
  <c r="AO11" i="8"/>
  <c r="AO8" i="8"/>
  <c r="AO6" i="8"/>
  <c r="AO4" i="8"/>
  <c r="AH22" i="1"/>
  <c r="AJ4" i="1"/>
  <c r="AJ13" i="12" s="1"/>
  <c r="AO13" i="12" s="1"/>
  <c r="AO10" i="8"/>
  <c r="AO13" i="8"/>
  <c r="AK3" i="1"/>
  <c r="AJ12" i="1"/>
  <c r="Q30" i="21"/>
  <c r="AA3" i="21"/>
  <c r="AA30" i="21" s="1"/>
  <c r="AO19" i="1"/>
  <c r="AD77" i="4"/>
  <c r="AO17" i="1"/>
  <c r="AO6" i="1"/>
  <c r="AD53" i="4"/>
  <c r="AP53" i="4" s="1"/>
  <c r="AO20" i="1"/>
  <c r="AO16" i="1"/>
  <c r="AO5" i="1"/>
  <c r="AO13" i="1"/>
  <c r="AO18" i="1"/>
  <c r="AO8" i="1"/>
  <c r="AO11" i="1"/>
  <c r="AD85" i="4"/>
  <c r="AD29" i="4"/>
  <c r="AP29" i="4" s="1"/>
  <c r="AO7" i="1"/>
  <c r="AC6" i="11"/>
  <c r="AO6" i="11" s="1"/>
  <c r="AO10" i="1"/>
  <c r="AO14" i="1"/>
  <c r="DY34" i="6"/>
  <c r="AO21" i="1"/>
  <c r="AO21" i="8"/>
  <c r="AO15" i="1"/>
  <c r="AD13" i="4"/>
  <c r="AP13" i="4" s="1"/>
  <c r="GB34" i="6"/>
  <c r="EN34" i="6"/>
  <c r="FW34" i="6"/>
  <c r="FH34" i="6"/>
  <c r="ES34" i="6"/>
  <c r="EI34" i="6"/>
  <c r="AO3" i="8"/>
  <c r="AO17" i="8"/>
  <c r="AO9" i="8"/>
  <c r="AB19" i="1"/>
  <c r="AB11" i="1"/>
  <c r="P30" i="11"/>
  <c r="AA10" i="3"/>
  <c r="W24" i="3"/>
  <c r="AA22" i="3"/>
  <c r="AA14" i="3"/>
  <c r="AA6" i="3"/>
  <c r="R34" i="2"/>
  <c r="AA20" i="3"/>
  <c r="AA19" i="3"/>
  <c r="AA16" i="3"/>
  <c r="AA8" i="3"/>
  <c r="AA17" i="3"/>
  <c r="AA9" i="3"/>
  <c r="Y34" i="2"/>
  <c r="Q34" i="2"/>
  <c r="AA12" i="3"/>
  <c r="AA11" i="3"/>
  <c r="AA18" i="3"/>
  <c r="X34" i="2"/>
  <c r="P34" i="2"/>
  <c r="AA4" i="3"/>
  <c r="AA3" i="3"/>
  <c r="AB18" i="1"/>
  <c r="AB9" i="1"/>
  <c r="AB16" i="1"/>
  <c r="AB23" i="1"/>
  <c r="AB7" i="1"/>
  <c r="AB6" i="1"/>
  <c r="AB21" i="1"/>
  <c r="AB13" i="1"/>
  <c r="AB10" i="1"/>
  <c r="AB17" i="1"/>
  <c r="AB8" i="1"/>
  <c r="AB15" i="1"/>
  <c r="AB14" i="1"/>
  <c r="AB20" i="1"/>
  <c r="AB12" i="1"/>
  <c r="AA12" i="2"/>
  <c r="AA22" i="2"/>
  <c r="AA11" i="2"/>
  <c r="AO32" i="11" l="1"/>
  <c r="FM33" i="14"/>
  <c r="AO23" i="1"/>
  <c r="AP85" i="4"/>
  <c r="AO12" i="1"/>
  <c r="AJ38" i="11"/>
  <c r="AK32" i="1"/>
  <c r="AK35" i="1" s="1"/>
  <c r="AK5" i="12"/>
  <c r="AO22" i="1"/>
  <c r="AI77" i="4"/>
  <c r="AP77" i="4" s="1"/>
  <c r="AO9" i="1"/>
  <c r="AJ14" i="11"/>
  <c r="AO14" i="11" s="1"/>
  <c r="AO38" i="11"/>
  <c r="AF32" i="1"/>
  <c r="AF35" i="1" s="1"/>
  <c r="AF5" i="12"/>
  <c r="AH32" i="1"/>
  <c r="AH35" i="1" s="1"/>
  <c r="AH5" i="12"/>
  <c r="AI32" i="1"/>
  <c r="AI35" i="1" s="1"/>
  <c r="AI5" i="12"/>
  <c r="AJ32" i="1"/>
  <c r="AJ35" i="1" s="1"/>
  <c r="AJ5" i="12"/>
  <c r="AL32" i="1"/>
  <c r="AL35" i="1" s="1"/>
  <c r="AL5" i="12"/>
  <c r="AL34" i="1"/>
  <c r="AM32" i="1"/>
  <c r="AM35" i="1" s="1"/>
  <c r="AM5" i="12"/>
  <c r="AM34" i="1"/>
  <c r="AN32" i="1"/>
  <c r="AN35" i="1" s="1"/>
  <c r="AN5" i="12"/>
  <c r="AG32" i="1"/>
  <c r="AG35" i="1" s="1"/>
  <c r="AG5" i="12"/>
  <c r="AE32" i="1"/>
  <c r="AE35" i="1" s="1"/>
  <c r="AE5" i="12"/>
  <c r="AE34" i="1"/>
  <c r="AG31" i="8"/>
  <c r="AG31" i="1" s="1"/>
  <c r="AG29" i="8"/>
  <c r="AG29" i="1" s="1"/>
  <c r="AO16" i="11"/>
  <c r="AO7" i="12"/>
  <c r="GC33" i="14"/>
  <c r="AN34" i="1"/>
  <c r="AO4" i="1"/>
  <c r="AO32" i="8"/>
  <c r="AH30" i="8"/>
  <c r="AH30" i="1" s="1"/>
  <c r="AG34" i="8"/>
  <c r="AO26" i="8"/>
  <c r="AO3" i="1"/>
  <c r="AO32" i="1" s="1"/>
  <c r="AA32" i="2"/>
  <c r="AO5" i="12" l="1"/>
  <c r="AF34" i="1"/>
  <c r="AH29" i="8"/>
  <c r="AH29" i="1" s="1"/>
  <c r="AH31" i="8"/>
  <c r="AH31" i="1" s="1"/>
  <c r="AI30" i="8"/>
  <c r="AI30" i="1" s="1"/>
  <c r="AH34" i="8"/>
  <c r="AI31" i="8" l="1"/>
  <c r="AI31" i="1" s="1"/>
  <c r="AG34" i="1"/>
  <c r="AI29" i="8"/>
  <c r="AI29" i="1" s="1"/>
  <c r="AJ30" i="8"/>
  <c r="AJ30" i="1" s="1"/>
  <c r="AW33" i="6"/>
  <c r="Q5" i="4"/>
  <c r="AB5" i="1"/>
  <c r="AB4" i="1"/>
  <c r="AB3" i="1"/>
  <c r="V4" i="13"/>
  <c r="Q4" i="13"/>
  <c r="U4" i="13"/>
  <c r="Q38" i="11"/>
  <c r="Y38" i="11"/>
  <c r="P4" i="13"/>
  <c r="X4" i="13"/>
  <c r="O4" i="13"/>
  <c r="L5" i="4"/>
  <c r="E13" i="4"/>
  <c r="F13" i="4"/>
  <c r="G13" i="4"/>
  <c r="H13" i="4"/>
  <c r="I13" i="4"/>
  <c r="J13" i="4"/>
  <c r="E5" i="4"/>
  <c r="F5" i="4"/>
  <c r="G5" i="4"/>
  <c r="H5" i="4"/>
  <c r="I5" i="4"/>
  <c r="J5" i="4"/>
  <c r="K6" i="11"/>
  <c r="J14" i="11"/>
  <c r="J38" i="11"/>
  <c r="L38" i="11"/>
  <c r="M38" i="11"/>
  <c r="N38" i="11"/>
  <c r="K5" i="4"/>
  <c r="M5" i="4"/>
  <c r="N5" i="4"/>
  <c r="O5" i="4"/>
  <c r="L13" i="4"/>
  <c r="M13" i="4"/>
  <c r="O37" i="4"/>
  <c r="F7" i="4"/>
  <c r="D7" i="12"/>
  <c r="C39" i="12"/>
  <c r="D87" i="4"/>
  <c r="C33" i="14"/>
  <c r="D33" i="14"/>
  <c r="E33" i="14"/>
  <c r="F33" i="14"/>
  <c r="B7" i="13"/>
  <c r="C7" i="13"/>
  <c r="D7" i="13"/>
  <c r="E7" i="13"/>
  <c r="G7" i="13"/>
  <c r="H7" i="13"/>
  <c r="J87" i="4"/>
  <c r="J31" i="4"/>
  <c r="J23" i="4"/>
  <c r="I40" i="11"/>
  <c r="I16" i="11"/>
  <c r="I15" i="12"/>
  <c r="I87" i="4"/>
  <c r="I39" i="4"/>
  <c r="H40" i="11"/>
  <c r="H16" i="11"/>
  <c r="H39" i="12"/>
  <c r="H87" i="4"/>
  <c r="H71" i="4"/>
  <c r="H47" i="4"/>
  <c r="H23" i="4"/>
  <c r="G32" i="11"/>
  <c r="G24" i="11"/>
  <c r="G8" i="11"/>
  <c r="G39" i="12"/>
  <c r="G31" i="12"/>
  <c r="G39" i="4"/>
  <c r="F32" i="11"/>
  <c r="F16" i="11"/>
  <c r="F8" i="11"/>
  <c r="F79" i="4"/>
  <c r="F71" i="4"/>
  <c r="F23" i="4"/>
  <c r="E40" i="11"/>
  <c r="E24" i="11"/>
  <c r="E39" i="12"/>
  <c r="E31" i="12"/>
  <c r="D32" i="11"/>
  <c r="D24" i="11"/>
  <c r="D55" i="4"/>
  <c r="D47" i="4"/>
  <c r="D7" i="4"/>
  <c r="C24" i="11"/>
  <c r="C8" i="11"/>
  <c r="C15" i="12"/>
  <c r="AU9" i="14"/>
  <c r="K23" i="4"/>
  <c r="K31" i="4"/>
  <c r="K47" i="4"/>
  <c r="K55" i="4"/>
  <c r="AX33" i="6"/>
  <c r="AY33" i="6"/>
  <c r="AR33" i="6"/>
  <c r="AS33" i="6"/>
  <c r="AT33" i="6"/>
  <c r="BI14" i="14"/>
  <c r="AX14" i="14"/>
  <c r="AW14" i="14"/>
  <c r="AV14" i="14"/>
  <c r="BI8" i="14"/>
  <c r="BI7" i="14"/>
  <c r="BI6" i="14"/>
  <c r="BI5" i="14"/>
  <c r="BI4" i="14"/>
  <c r="CE24" i="14"/>
  <c r="BI24" i="14"/>
  <c r="BI23" i="14"/>
  <c r="BI22" i="14"/>
  <c r="BI21" i="14"/>
  <c r="BI20" i="14"/>
  <c r="BI19" i="14"/>
  <c r="BI18" i="14"/>
  <c r="BI17" i="14"/>
  <c r="BI16" i="14"/>
  <c r="BI15" i="14"/>
  <c r="AX16" i="14"/>
  <c r="AW16" i="14"/>
  <c r="AV16" i="14"/>
  <c r="K79" i="4"/>
  <c r="K71" i="4"/>
  <c r="K63" i="4"/>
  <c r="AM33" i="6"/>
  <c r="AN33" i="6"/>
  <c r="AO33" i="6"/>
  <c r="F40" i="11"/>
  <c r="C40" i="11"/>
  <c r="AA38" i="11"/>
  <c r="Z38" i="11"/>
  <c r="X38" i="11"/>
  <c r="W38" i="11"/>
  <c r="V38" i="11"/>
  <c r="U38" i="11"/>
  <c r="T38" i="11"/>
  <c r="S38" i="11"/>
  <c r="R38" i="11"/>
  <c r="P38" i="11"/>
  <c r="I38" i="11"/>
  <c r="H38" i="11"/>
  <c r="G38" i="11"/>
  <c r="F38" i="11"/>
  <c r="E38" i="11"/>
  <c r="D38" i="11"/>
  <c r="C38" i="11"/>
  <c r="A36" i="11"/>
  <c r="K87" i="4"/>
  <c r="J79" i="4"/>
  <c r="J71" i="4"/>
  <c r="J63" i="4"/>
  <c r="J55" i="4"/>
  <c r="J47" i="4"/>
  <c r="J15" i="4"/>
  <c r="J7" i="4"/>
  <c r="I24" i="11"/>
  <c r="I39" i="12"/>
  <c r="I31" i="12"/>
  <c r="I71" i="4"/>
  <c r="I63" i="4"/>
  <c r="I55" i="4"/>
  <c r="I47" i="4"/>
  <c r="I15" i="4"/>
  <c r="I7" i="4"/>
  <c r="H32" i="11"/>
  <c r="H24" i="11"/>
  <c r="G40" i="11"/>
  <c r="H63" i="4"/>
  <c r="H55" i="4"/>
  <c r="H7" i="4"/>
  <c r="G16" i="11"/>
  <c r="G15" i="12"/>
  <c r="G87" i="4"/>
  <c r="G79" i="4"/>
  <c r="G71" i="4"/>
  <c r="G63" i="4"/>
  <c r="G55" i="4"/>
  <c r="G47" i="4"/>
  <c r="G15" i="4"/>
  <c r="G7" i="4"/>
  <c r="F31" i="12"/>
  <c r="F15" i="12"/>
  <c r="F87" i="4"/>
  <c r="F63" i="4"/>
  <c r="F55" i="4"/>
  <c r="F47" i="4"/>
  <c r="F39" i="4"/>
  <c r="F15" i="4"/>
  <c r="E32" i="11"/>
  <c r="E16" i="11"/>
  <c r="E8" i="11"/>
  <c r="E15" i="12"/>
  <c r="D40" i="11"/>
  <c r="E87" i="4"/>
  <c r="E79" i="4"/>
  <c r="E63" i="4"/>
  <c r="E47" i="4"/>
  <c r="E23" i="4"/>
  <c r="E15" i="4"/>
  <c r="E7" i="4"/>
  <c r="D16" i="11"/>
  <c r="D8" i="11"/>
  <c r="D39" i="12"/>
  <c r="D31" i="12"/>
  <c r="D23" i="12"/>
  <c r="D79" i="4"/>
  <c r="D71" i="4"/>
  <c r="D39" i="4"/>
  <c r="D15" i="4"/>
  <c r="C32" i="11"/>
  <c r="C16" i="11"/>
  <c r="C23" i="12"/>
  <c r="D63" i="4"/>
  <c r="AA39" i="11"/>
  <c r="AB86" i="4"/>
  <c r="AB70" i="4"/>
  <c r="AB62" i="4"/>
  <c r="AB54" i="4"/>
  <c r="AB46" i="4"/>
  <c r="AB38" i="4"/>
  <c r="AB30" i="4"/>
  <c r="AB6" i="4"/>
  <c r="AA23" i="11"/>
  <c r="AA15" i="11"/>
  <c r="AA7" i="11"/>
  <c r="AA38" i="12"/>
  <c r="AA30" i="12"/>
  <c r="AA22" i="12"/>
  <c r="AA14" i="12"/>
  <c r="Z39" i="11"/>
  <c r="AA86" i="4"/>
  <c r="AA78" i="4"/>
  <c r="AA70" i="4"/>
  <c r="AA54" i="4"/>
  <c r="AA46" i="4"/>
  <c r="AA22" i="4"/>
  <c r="AA14" i="4"/>
  <c r="AA6" i="4"/>
  <c r="Z31" i="11"/>
  <c r="Z23" i="11"/>
  <c r="Z15" i="11"/>
  <c r="Z38" i="12"/>
  <c r="Z30" i="12"/>
  <c r="Z22" i="12"/>
  <c r="Z14" i="12"/>
  <c r="DN33" i="6"/>
  <c r="Y39" i="11"/>
  <c r="Z86" i="4"/>
  <c r="Z78" i="4"/>
  <c r="Z70" i="4"/>
  <c r="Z62" i="4"/>
  <c r="Z54" i="4"/>
  <c r="Z46" i="4"/>
  <c r="Z22" i="4"/>
  <c r="Z14" i="4"/>
  <c r="Z6" i="4"/>
  <c r="Y31" i="11"/>
  <c r="Y23" i="11"/>
  <c r="Y15" i="11"/>
  <c r="Y38" i="12"/>
  <c r="Y30" i="12"/>
  <c r="Y14" i="12"/>
  <c r="DI33" i="6"/>
  <c r="X39" i="11"/>
  <c r="Y86" i="4"/>
  <c r="Y78" i="4"/>
  <c r="Y62" i="4"/>
  <c r="Y54" i="4"/>
  <c r="Y46" i="4"/>
  <c r="Y30" i="4"/>
  <c r="Y22" i="4"/>
  <c r="Y14" i="4"/>
  <c r="X31" i="11"/>
  <c r="X23" i="11"/>
  <c r="X15" i="11"/>
  <c r="X7" i="11"/>
  <c r="X38" i="12"/>
  <c r="X30" i="12"/>
  <c r="X14" i="12"/>
  <c r="DD33" i="6"/>
  <c r="W39" i="11"/>
  <c r="X86" i="4"/>
  <c r="X70" i="4"/>
  <c r="X62" i="4"/>
  <c r="X54" i="4"/>
  <c r="X46" i="4"/>
  <c r="X38" i="4"/>
  <c r="X30" i="4"/>
  <c r="X22" i="4"/>
  <c r="X14" i="4"/>
  <c r="X6" i="4"/>
  <c r="W31" i="11"/>
  <c r="W23" i="11"/>
  <c r="W15" i="11"/>
  <c r="W7" i="11"/>
  <c r="W38" i="12"/>
  <c r="W30" i="12"/>
  <c r="W22" i="12"/>
  <c r="W14" i="12"/>
  <c r="CY33" i="6"/>
  <c r="V39" i="11"/>
  <c r="W86" i="4"/>
  <c r="W78" i="4"/>
  <c r="W70" i="4"/>
  <c r="W62" i="4"/>
  <c r="W54" i="4"/>
  <c r="W46" i="4"/>
  <c r="W38" i="4"/>
  <c r="W30" i="4"/>
  <c r="W22" i="4"/>
  <c r="W14" i="4"/>
  <c r="V31" i="11"/>
  <c r="V23" i="11"/>
  <c r="V15" i="11"/>
  <c r="V7" i="11"/>
  <c r="V30" i="12"/>
  <c r="V22" i="12"/>
  <c r="V14" i="12"/>
  <c r="CT33" i="6"/>
  <c r="U39" i="11"/>
  <c r="V86" i="4"/>
  <c r="V78" i="4"/>
  <c r="V70" i="4"/>
  <c r="V62" i="4"/>
  <c r="V46" i="4"/>
  <c r="V38" i="4"/>
  <c r="V30" i="4"/>
  <c r="V22" i="4"/>
  <c r="V14" i="4"/>
  <c r="U31" i="11"/>
  <c r="U23" i="11"/>
  <c r="U15" i="11"/>
  <c r="U7" i="11"/>
  <c r="U38" i="12"/>
  <c r="U30" i="12"/>
  <c r="U22" i="12"/>
  <c r="CO33" i="6"/>
  <c r="T39" i="11"/>
  <c r="U86" i="4"/>
  <c r="U78" i="4"/>
  <c r="U70" i="4"/>
  <c r="U62" i="4"/>
  <c r="U54" i="4"/>
  <c r="U46" i="4"/>
  <c r="U38" i="4"/>
  <c r="U30" i="4"/>
  <c r="U22" i="4"/>
  <c r="U14" i="4"/>
  <c r="T31" i="11"/>
  <c r="T23" i="11"/>
  <c r="T15" i="11"/>
  <c r="T7" i="11"/>
  <c r="T38" i="12"/>
  <c r="T30" i="12"/>
  <c r="T22" i="12"/>
  <c r="T14" i="12"/>
  <c r="CJ33" i="6"/>
  <c r="S39" i="11"/>
  <c r="T78" i="4"/>
  <c r="T62" i="4"/>
  <c r="T54" i="4"/>
  <c r="T46" i="4"/>
  <c r="T38" i="4"/>
  <c r="T30" i="4"/>
  <c r="T14" i="4"/>
  <c r="T6" i="4"/>
  <c r="S31" i="11"/>
  <c r="S23" i="11"/>
  <c r="S15" i="11"/>
  <c r="S7" i="11"/>
  <c r="S30" i="12"/>
  <c r="S22" i="12"/>
  <c r="S14" i="12"/>
  <c r="DT4" i="6"/>
  <c r="R39" i="11"/>
  <c r="S86" i="4"/>
  <c r="S70" i="4"/>
  <c r="S62" i="4"/>
  <c r="S54" i="4"/>
  <c r="S46" i="4"/>
  <c r="S30" i="4"/>
  <c r="S22" i="4"/>
  <c r="S14" i="4"/>
  <c r="S6" i="4"/>
  <c r="R31" i="11"/>
  <c r="R23" i="11"/>
  <c r="R15" i="11"/>
  <c r="R30" i="12"/>
  <c r="R22" i="12"/>
  <c r="R14" i="12"/>
  <c r="Q39" i="11"/>
  <c r="R86" i="4"/>
  <c r="R78" i="4"/>
  <c r="R70" i="4"/>
  <c r="R62" i="4"/>
  <c r="R54" i="4"/>
  <c r="R46" i="4"/>
  <c r="R38" i="4"/>
  <c r="R22" i="4"/>
  <c r="R14" i="4"/>
  <c r="R6" i="4"/>
  <c r="Q31" i="11"/>
  <c r="Q23" i="11"/>
  <c r="Q15" i="11"/>
  <c r="Q7" i="11"/>
  <c r="Q38" i="12"/>
  <c r="Q30" i="12"/>
  <c r="Q14" i="12"/>
  <c r="BU4" i="6"/>
  <c r="P39" i="11"/>
  <c r="Q86" i="4"/>
  <c r="Q78" i="4"/>
  <c r="Q70" i="4"/>
  <c r="Q62" i="4"/>
  <c r="Q54" i="4"/>
  <c r="Q46" i="4"/>
  <c r="Q38" i="4"/>
  <c r="Q30" i="4"/>
  <c r="Q22" i="4"/>
  <c r="Q6" i="4"/>
  <c r="P31" i="11"/>
  <c r="P15" i="11"/>
  <c r="P7" i="11"/>
  <c r="P30" i="12"/>
  <c r="P22" i="12"/>
  <c r="P14" i="12"/>
  <c r="N39" i="11"/>
  <c r="O86" i="4"/>
  <c r="O78" i="4"/>
  <c r="O70" i="4"/>
  <c r="O62" i="4"/>
  <c r="O54" i="4"/>
  <c r="O46" i="4"/>
  <c r="O38" i="4"/>
  <c r="O30" i="4"/>
  <c r="O14" i="4"/>
  <c r="O6" i="4"/>
  <c r="N31" i="11"/>
  <c r="N23" i="11"/>
  <c r="N15" i="11"/>
  <c r="N7" i="11"/>
  <c r="N38" i="12"/>
  <c r="N30" i="12"/>
  <c r="N22" i="12"/>
  <c r="N14" i="12"/>
  <c r="BJ4" i="6"/>
  <c r="BJ33" i="6" s="1"/>
  <c r="M39" i="11"/>
  <c r="N86" i="4"/>
  <c r="N78" i="4"/>
  <c r="N70" i="4"/>
  <c r="N62" i="4"/>
  <c r="N54" i="4"/>
  <c r="N46" i="4"/>
  <c r="N38" i="4"/>
  <c r="N30" i="4"/>
  <c r="N14" i="4"/>
  <c r="N6" i="4"/>
  <c r="M31" i="11"/>
  <c r="M23" i="11"/>
  <c r="M15" i="11"/>
  <c r="M7" i="11"/>
  <c r="M38" i="12"/>
  <c r="M30" i="12"/>
  <c r="M22" i="12"/>
  <c r="M14" i="12"/>
  <c r="BE4" i="6"/>
  <c r="BE33" i="6" s="1"/>
  <c r="L39" i="11"/>
  <c r="M86" i="4"/>
  <c r="M78" i="4"/>
  <c r="M70" i="4"/>
  <c r="M62" i="4"/>
  <c r="M54" i="4"/>
  <c r="M46" i="4"/>
  <c r="M38" i="4"/>
  <c r="M22" i="4"/>
  <c r="M14" i="4"/>
  <c r="M6" i="4"/>
  <c r="L31" i="11"/>
  <c r="L23" i="11"/>
  <c r="L15" i="11"/>
  <c r="L7" i="11"/>
  <c r="L38" i="12"/>
  <c r="L30" i="12"/>
  <c r="L22" i="12"/>
  <c r="L14" i="12"/>
  <c r="AZ4" i="6"/>
  <c r="AZ33" i="6" s="1"/>
  <c r="AU13" i="6"/>
  <c r="K39" i="11" s="1"/>
  <c r="AU24" i="6"/>
  <c r="L86" i="4" s="1"/>
  <c r="AU23" i="6"/>
  <c r="L78" i="4" s="1"/>
  <c r="AU22" i="6"/>
  <c r="L70" i="4" s="1"/>
  <c r="AU21" i="6"/>
  <c r="L54" i="4"/>
  <c r="AU19" i="6"/>
  <c r="L46" i="4" s="1"/>
  <c r="AU18" i="6"/>
  <c r="L38" i="4" s="1"/>
  <c r="AU17" i="6"/>
  <c r="L30" i="4" s="1"/>
  <c r="AU16" i="6"/>
  <c r="L22" i="4" s="1"/>
  <c r="AU15" i="6"/>
  <c r="L14" i="4" s="1"/>
  <c r="AU14" i="6"/>
  <c r="L6" i="4" s="1"/>
  <c r="AU12" i="6"/>
  <c r="K31" i="11" s="1"/>
  <c r="AU11" i="6"/>
  <c r="K23" i="11" s="1"/>
  <c r="AU10" i="6"/>
  <c r="K15" i="11" s="1"/>
  <c r="AU9" i="6"/>
  <c r="K7" i="11" s="1"/>
  <c r="AU8" i="6"/>
  <c r="K38" i="12" s="1"/>
  <c r="AU7" i="6"/>
  <c r="K30" i="12" s="1"/>
  <c r="AU6" i="6"/>
  <c r="K22" i="12" s="1"/>
  <c r="AU5" i="6"/>
  <c r="AU4" i="6"/>
  <c r="S78" i="4"/>
  <c r="S38" i="4"/>
  <c r="R7" i="11"/>
  <c r="R6" i="12"/>
  <c r="AP5" i="6"/>
  <c r="J14" i="12" s="1"/>
  <c r="AP6" i="6"/>
  <c r="AP7" i="6"/>
  <c r="J30" i="12" s="1"/>
  <c r="AP8" i="6"/>
  <c r="J38" i="12" s="1"/>
  <c r="AP9" i="6"/>
  <c r="J7" i="11" s="1"/>
  <c r="AP10" i="6"/>
  <c r="J15" i="11" s="1"/>
  <c r="AP11" i="6"/>
  <c r="J23" i="11" s="1"/>
  <c r="AP12" i="6"/>
  <c r="J31" i="11" s="1"/>
  <c r="AP14" i="6"/>
  <c r="K6" i="4" s="1"/>
  <c r="AP15" i="6"/>
  <c r="K14" i="4" s="1"/>
  <c r="AP16" i="6"/>
  <c r="K22" i="4" s="1"/>
  <c r="AP17" i="6"/>
  <c r="AP18" i="6"/>
  <c r="K38" i="4" s="1"/>
  <c r="AP19" i="6"/>
  <c r="K46" i="4" s="1"/>
  <c r="K54" i="4"/>
  <c r="AP21" i="6"/>
  <c r="K62" i="4" s="1"/>
  <c r="AP22" i="6"/>
  <c r="K70" i="4" s="1"/>
  <c r="AP23" i="6"/>
  <c r="K78" i="4" s="1"/>
  <c r="AP24" i="6"/>
  <c r="K86" i="4" s="1"/>
  <c r="AP13" i="6"/>
  <c r="J39" i="11" s="1"/>
  <c r="AP4" i="6"/>
  <c r="Q22" i="12"/>
  <c r="P23" i="11"/>
  <c r="L62" i="4"/>
  <c r="AK13" i="6"/>
  <c r="I39" i="11" s="1"/>
  <c r="AK24" i="6"/>
  <c r="J86" i="4" s="1"/>
  <c r="AK23" i="6"/>
  <c r="J78" i="4" s="1"/>
  <c r="AK22" i="6"/>
  <c r="J70" i="4" s="1"/>
  <c r="AK21" i="6"/>
  <c r="J62" i="4" s="1"/>
  <c r="J54" i="4"/>
  <c r="AK19" i="6"/>
  <c r="J46" i="4" s="1"/>
  <c r="AK18" i="6"/>
  <c r="J38" i="4" s="1"/>
  <c r="AK17" i="6"/>
  <c r="J30" i="4" s="1"/>
  <c r="AK16" i="6"/>
  <c r="J22" i="4" s="1"/>
  <c r="AK15" i="6"/>
  <c r="J14" i="4" s="1"/>
  <c r="AK14" i="6"/>
  <c r="J6" i="4" s="1"/>
  <c r="AK12" i="6"/>
  <c r="I31" i="11" s="1"/>
  <c r="AK11" i="6"/>
  <c r="I23" i="11" s="1"/>
  <c r="AK10" i="6"/>
  <c r="I15" i="11" s="1"/>
  <c r="AK9" i="6"/>
  <c r="I7" i="11" s="1"/>
  <c r="AK8" i="6"/>
  <c r="I38" i="12" s="1"/>
  <c r="AK7" i="6"/>
  <c r="I30" i="12" s="1"/>
  <c r="AK6" i="6"/>
  <c r="I22" i="12" s="1"/>
  <c r="AK5" i="6"/>
  <c r="I14" i="12" s="1"/>
  <c r="AK4" i="6"/>
  <c r="AA13" i="6"/>
  <c r="G39" i="11" s="1"/>
  <c r="AA24" i="6"/>
  <c r="H86" i="4" s="1"/>
  <c r="AA23" i="6"/>
  <c r="H78" i="4" s="1"/>
  <c r="AA22" i="6"/>
  <c r="H70" i="4" s="1"/>
  <c r="AA21" i="6"/>
  <c r="H62" i="4" s="1"/>
  <c r="H54" i="4"/>
  <c r="AA19" i="6"/>
  <c r="H46" i="4" s="1"/>
  <c r="AA18" i="6"/>
  <c r="H38" i="4" s="1"/>
  <c r="AA17" i="6"/>
  <c r="H30" i="4" s="1"/>
  <c r="AA16" i="6"/>
  <c r="H22" i="4" s="1"/>
  <c r="AA15" i="6"/>
  <c r="H14" i="4" s="1"/>
  <c r="AA14" i="6"/>
  <c r="H6" i="4" s="1"/>
  <c r="AA12" i="6"/>
  <c r="G31" i="11" s="1"/>
  <c r="AA11" i="6"/>
  <c r="G23" i="11" s="1"/>
  <c r="AA10" i="6"/>
  <c r="G15" i="11" s="1"/>
  <c r="AA9" i="6"/>
  <c r="G7" i="11" s="1"/>
  <c r="AA8" i="6"/>
  <c r="AA7" i="6"/>
  <c r="G30" i="12" s="1"/>
  <c r="AA6" i="6"/>
  <c r="G22" i="12" s="1"/>
  <c r="AA5" i="6"/>
  <c r="G14" i="12" s="1"/>
  <c r="AA4" i="6"/>
  <c r="V13" i="6"/>
  <c r="F39" i="11" s="1"/>
  <c r="V24" i="6"/>
  <c r="G86" i="4" s="1"/>
  <c r="V23" i="6"/>
  <c r="G78" i="4" s="1"/>
  <c r="V22" i="6"/>
  <c r="G70" i="4" s="1"/>
  <c r="V21" i="6"/>
  <c r="G54" i="4"/>
  <c r="V19" i="6"/>
  <c r="G46" i="4" s="1"/>
  <c r="V18" i="6"/>
  <c r="G38" i="4" s="1"/>
  <c r="V17" i="6"/>
  <c r="G30" i="4" s="1"/>
  <c r="V16" i="6"/>
  <c r="G22" i="4" s="1"/>
  <c r="V15" i="6"/>
  <c r="G14" i="4" s="1"/>
  <c r="V14" i="6"/>
  <c r="G6" i="4" s="1"/>
  <c r="V12" i="6"/>
  <c r="F31" i="11" s="1"/>
  <c r="V11" i="6"/>
  <c r="F23" i="11" s="1"/>
  <c r="V10" i="6"/>
  <c r="F15" i="11" s="1"/>
  <c r="V9" i="6"/>
  <c r="F7" i="11" s="1"/>
  <c r="V8" i="6"/>
  <c r="F38" i="12" s="1"/>
  <c r="V7" i="6"/>
  <c r="F30" i="12" s="1"/>
  <c r="V6" i="6"/>
  <c r="F22" i="12" s="1"/>
  <c r="V5" i="6"/>
  <c r="F14" i="12" s="1"/>
  <c r="V4" i="6"/>
  <c r="L4" i="6"/>
  <c r="Q13" i="6"/>
  <c r="E39" i="11" s="1"/>
  <c r="Q24" i="6"/>
  <c r="F86" i="4" s="1"/>
  <c r="Q23" i="6"/>
  <c r="F78" i="4" s="1"/>
  <c r="Q22" i="6"/>
  <c r="F70" i="4" s="1"/>
  <c r="Q21" i="6"/>
  <c r="F62" i="4" s="1"/>
  <c r="F54" i="4"/>
  <c r="Q19" i="6"/>
  <c r="F46" i="4" s="1"/>
  <c r="Q18" i="6"/>
  <c r="F38" i="4" s="1"/>
  <c r="Q17" i="6"/>
  <c r="F30" i="4" s="1"/>
  <c r="Q16" i="6"/>
  <c r="F22" i="4" s="1"/>
  <c r="Q15" i="6"/>
  <c r="F14" i="4" s="1"/>
  <c r="Q14" i="6"/>
  <c r="F6" i="4" s="1"/>
  <c r="Q12" i="6"/>
  <c r="E31" i="11" s="1"/>
  <c r="Q11" i="6"/>
  <c r="E23" i="11" s="1"/>
  <c r="Q10" i="6"/>
  <c r="E15" i="11" s="1"/>
  <c r="Q9" i="6"/>
  <c r="E7" i="11" s="1"/>
  <c r="Q8" i="6"/>
  <c r="E38" i="12" s="1"/>
  <c r="Q7" i="6"/>
  <c r="E30" i="12" s="1"/>
  <c r="Q6" i="6"/>
  <c r="E22" i="12" s="1"/>
  <c r="Q5" i="6"/>
  <c r="E14" i="12" s="1"/>
  <c r="Q4" i="6"/>
  <c r="L13" i="6"/>
  <c r="D39" i="11" s="1"/>
  <c r="L24" i="6"/>
  <c r="E86" i="4" s="1"/>
  <c r="L23" i="6"/>
  <c r="E78" i="4" s="1"/>
  <c r="L22" i="6"/>
  <c r="L21" i="6"/>
  <c r="E62" i="4" s="1"/>
  <c r="E54" i="4"/>
  <c r="L19" i="6"/>
  <c r="E46" i="4" s="1"/>
  <c r="L18" i="6"/>
  <c r="E38" i="4" s="1"/>
  <c r="L17" i="6"/>
  <c r="E30" i="4" s="1"/>
  <c r="L16" i="6"/>
  <c r="E22" i="4" s="1"/>
  <c r="L15" i="6"/>
  <c r="E14" i="4" s="1"/>
  <c r="L14" i="6"/>
  <c r="L12" i="6"/>
  <c r="D31" i="11" s="1"/>
  <c r="L11" i="6"/>
  <c r="D23" i="11" s="1"/>
  <c r="L10" i="6"/>
  <c r="D15" i="11" s="1"/>
  <c r="L9" i="6"/>
  <c r="D7" i="11" s="1"/>
  <c r="L8" i="6"/>
  <c r="D38" i="12" s="1"/>
  <c r="L7" i="6"/>
  <c r="D30" i="12" s="1"/>
  <c r="L6" i="6"/>
  <c r="D22" i="12" s="1"/>
  <c r="L5" i="6"/>
  <c r="D14" i="12" s="1"/>
  <c r="AF13" i="6"/>
  <c r="H39" i="11" s="1"/>
  <c r="AF24" i="6"/>
  <c r="I86" i="4" s="1"/>
  <c r="AF23" i="6"/>
  <c r="I78" i="4" s="1"/>
  <c r="AF22" i="6"/>
  <c r="I70" i="4" s="1"/>
  <c r="AF21" i="6"/>
  <c r="I62" i="4" s="1"/>
  <c r="I54" i="4"/>
  <c r="AF19" i="6"/>
  <c r="I46" i="4" s="1"/>
  <c r="AF18" i="6"/>
  <c r="I38" i="4" s="1"/>
  <c r="AF17" i="6"/>
  <c r="I30" i="4" s="1"/>
  <c r="AF16" i="6"/>
  <c r="I22" i="4" s="1"/>
  <c r="AF15" i="6"/>
  <c r="I14" i="4" s="1"/>
  <c r="AF14" i="6"/>
  <c r="I6" i="4" s="1"/>
  <c r="AF12" i="6"/>
  <c r="H31" i="11" s="1"/>
  <c r="AF11" i="6"/>
  <c r="H23" i="11" s="1"/>
  <c r="AF10" i="6"/>
  <c r="H15" i="11" s="1"/>
  <c r="AF9" i="6"/>
  <c r="AF8" i="6"/>
  <c r="H38" i="12" s="1"/>
  <c r="AF7" i="6"/>
  <c r="H30" i="12" s="1"/>
  <c r="AF6" i="6"/>
  <c r="H22" i="12" s="1"/>
  <c r="AF5" i="6"/>
  <c r="H14" i="12" s="1"/>
  <c r="AF4" i="6"/>
  <c r="H6" i="12" s="1"/>
  <c r="G5" i="6"/>
  <c r="G6" i="6"/>
  <c r="C22" i="12" s="1"/>
  <c r="G7" i="6"/>
  <c r="G8" i="6"/>
  <c r="C38" i="12" s="1"/>
  <c r="G9" i="6"/>
  <c r="C7" i="11" s="1"/>
  <c r="G10" i="6"/>
  <c r="G11" i="6"/>
  <c r="C23" i="11" s="1"/>
  <c r="G12" i="6"/>
  <c r="C31" i="11" s="1"/>
  <c r="G14" i="6"/>
  <c r="D6" i="4" s="1"/>
  <c r="G15" i="6"/>
  <c r="G16" i="6"/>
  <c r="G17" i="6"/>
  <c r="D30" i="4" s="1"/>
  <c r="G18" i="6"/>
  <c r="D38" i="4" s="1"/>
  <c r="G19" i="6"/>
  <c r="D46" i="4" s="1"/>
  <c r="D54" i="4"/>
  <c r="G21" i="6"/>
  <c r="D62" i="4" s="1"/>
  <c r="G22" i="6"/>
  <c r="D70" i="4" s="1"/>
  <c r="G23" i="6"/>
  <c r="G24" i="6"/>
  <c r="G13" i="6"/>
  <c r="C39" i="11" s="1"/>
  <c r="G4" i="6"/>
  <c r="I32" i="11"/>
  <c r="AA31" i="11"/>
  <c r="F24" i="11"/>
  <c r="I8" i="11"/>
  <c r="H8" i="11"/>
  <c r="Z7" i="11"/>
  <c r="Y7" i="11"/>
  <c r="T86" i="4"/>
  <c r="I79" i="4"/>
  <c r="H79" i="4"/>
  <c r="AB78" i="4"/>
  <c r="X78" i="4"/>
  <c r="E71" i="4"/>
  <c r="Y70" i="4"/>
  <c r="T70" i="4"/>
  <c r="AA62" i="4"/>
  <c r="G62" i="4"/>
  <c r="E55" i="4"/>
  <c r="V54" i="4"/>
  <c r="J39" i="4"/>
  <c r="H39" i="4"/>
  <c r="E39" i="4"/>
  <c r="AA38" i="4"/>
  <c r="Z38" i="4"/>
  <c r="Y38" i="4"/>
  <c r="G31" i="4"/>
  <c r="F31" i="4"/>
  <c r="E31" i="4"/>
  <c r="D31" i="4"/>
  <c r="AA30" i="4"/>
  <c r="Z30" i="4"/>
  <c r="M30" i="4"/>
  <c r="K30" i="4"/>
  <c r="I23" i="4"/>
  <c r="G23" i="4"/>
  <c r="D23" i="4"/>
  <c r="AB22" i="4"/>
  <c r="T22" i="4"/>
  <c r="O22" i="4"/>
  <c r="P15" i="4"/>
  <c r="H15" i="4"/>
  <c r="AB14" i="4"/>
  <c r="P14" i="4"/>
  <c r="Y6" i="4"/>
  <c r="W6" i="4"/>
  <c r="V6" i="4"/>
  <c r="U6" i="4"/>
  <c r="F39" i="12"/>
  <c r="H31" i="12"/>
  <c r="C31" i="12"/>
  <c r="G23" i="12"/>
  <c r="F23" i="12"/>
  <c r="H15" i="12"/>
  <c r="D15" i="12"/>
  <c r="G7" i="12"/>
  <c r="V38" i="12"/>
  <c r="R38" i="12"/>
  <c r="G38" i="12"/>
  <c r="Y22" i="12"/>
  <c r="X22" i="12"/>
  <c r="U14" i="12"/>
  <c r="K14" i="12"/>
  <c r="AV33" i="6"/>
  <c r="AQ33" i="6"/>
  <c r="AL33" i="6"/>
  <c r="AG33" i="6"/>
  <c r="AB33" i="6"/>
  <c r="W33" i="6"/>
  <c r="R33" i="6"/>
  <c r="M33" i="6"/>
  <c r="H33" i="6"/>
  <c r="C33" i="6"/>
  <c r="H4" i="13"/>
  <c r="G4" i="13"/>
  <c r="F4" i="13"/>
  <c r="E4" i="13"/>
  <c r="D4" i="13"/>
  <c r="C4" i="13"/>
  <c r="B3" i="13"/>
  <c r="C3" i="13"/>
  <c r="D3" i="13"/>
  <c r="E3" i="13"/>
  <c r="F3" i="13"/>
  <c r="G3" i="13"/>
  <c r="H3" i="13"/>
  <c r="I3" i="13"/>
  <c r="J3" i="13"/>
  <c r="K3" i="13"/>
  <c r="L3" i="13"/>
  <c r="M3" i="13"/>
  <c r="O6" i="8"/>
  <c r="O7" i="8"/>
  <c r="O8" i="8"/>
  <c r="O9" i="8"/>
  <c r="O10" i="8"/>
  <c r="O11" i="8"/>
  <c r="O13" i="8"/>
  <c r="O14" i="8"/>
  <c r="O15" i="8"/>
  <c r="O16" i="8"/>
  <c r="O17" i="8"/>
  <c r="O18" i="8"/>
  <c r="O19" i="8"/>
  <c r="O20" i="8"/>
  <c r="O21" i="8"/>
  <c r="O22" i="8"/>
  <c r="O23" i="8"/>
  <c r="O12" i="8"/>
  <c r="AZ16" i="14" l="1"/>
  <c r="AI34" i="8"/>
  <c r="AB32" i="1"/>
  <c r="AH34" i="1"/>
  <c r="AJ29" i="8"/>
  <c r="AJ29" i="1" s="1"/>
  <c r="AJ31" i="8"/>
  <c r="AJ31" i="1" s="1"/>
  <c r="AC14" i="4"/>
  <c r="N32" i="1"/>
  <c r="N35" i="1" s="1"/>
  <c r="N34" i="1"/>
  <c r="AB34" i="1"/>
  <c r="AK30" i="8"/>
  <c r="AK30" i="1" s="1"/>
  <c r="AJ34" i="8"/>
  <c r="BU33" i="6"/>
  <c r="BU34" i="6" s="1"/>
  <c r="CE33" i="6"/>
  <c r="CE34" i="6" s="1"/>
  <c r="AA6" i="12"/>
  <c r="DS33" i="6"/>
  <c r="DS34" i="6" s="1"/>
  <c r="BA33" i="14"/>
  <c r="BB33" i="14"/>
  <c r="BC33" i="14"/>
  <c r="BD33" i="14"/>
  <c r="BF33" i="14"/>
  <c r="BG33" i="14"/>
  <c r="BH33" i="14"/>
  <c r="BI33" i="14"/>
  <c r="BT33" i="14"/>
  <c r="BV33" i="14"/>
  <c r="BW33" i="14"/>
  <c r="BX33" i="14"/>
  <c r="BY33" i="14"/>
  <c r="CA33" i="14"/>
  <c r="CB33" i="14"/>
  <c r="CD33" i="14"/>
  <c r="BS33" i="14"/>
  <c r="BL33" i="14"/>
  <c r="BM33" i="14"/>
  <c r="BN33" i="14"/>
  <c r="BO33" i="14"/>
  <c r="BQ33" i="14"/>
  <c r="BR33" i="14"/>
  <c r="AV33" i="14"/>
  <c r="AW33" i="14"/>
  <c r="AX33" i="14"/>
  <c r="AZ14" i="14"/>
  <c r="AZ33" i="14" s="1"/>
  <c r="B8" i="13"/>
  <c r="L4" i="13"/>
  <c r="L5" i="13" s="1"/>
  <c r="O11" i="1"/>
  <c r="AP11" i="1" s="1"/>
  <c r="CT9" i="14"/>
  <c r="V8" i="11" s="1"/>
  <c r="BP5" i="14"/>
  <c r="P15" i="12" s="1"/>
  <c r="DN9" i="14"/>
  <c r="Z8" i="11" s="1"/>
  <c r="BZ21" i="14"/>
  <c r="S63" i="4" s="1"/>
  <c r="BZ23" i="14"/>
  <c r="S79" i="4" s="1"/>
  <c r="DI9" i="14"/>
  <c r="Y8" i="11" s="1"/>
  <c r="DS9" i="14"/>
  <c r="AA8" i="11" s="1"/>
  <c r="BE16" i="14"/>
  <c r="N23" i="4" s="1"/>
  <c r="BP14" i="14"/>
  <c r="Q7" i="4" s="1"/>
  <c r="BZ14" i="14"/>
  <c r="CT14" i="14"/>
  <c r="W7" i="4" s="1"/>
  <c r="CE15" i="14"/>
  <c r="T15" i="4" s="1"/>
  <c r="CE19" i="14"/>
  <c r="T47" i="4" s="1"/>
  <c r="CE21" i="14"/>
  <c r="T63" i="4" s="1"/>
  <c r="CE23" i="14"/>
  <c r="T79" i="4" s="1"/>
  <c r="CO16" i="14"/>
  <c r="V23" i="4" s="1"/>
  <c r="CO22" i="14"/>
  <c r="CY21" i="14"/>
  <c r="X63" i="4" s="1"/>
  <c r="DN22" i="14"/>
  <c r="AA71" i="4" s="1"/>
  <c r="M79" i="4"/>
  <c r="CE13" i="14"/>
  <c r="S40" i="11" s="1"/>
  <c r="DS13" i="14"/>
  <c r="AA40" i="11" s="1"/>
  <c r="M7" i="4"/>
  <c r="BJ14" i="14"/>
  <c r="O7" i="4" s="1"/>
  <c r="CE14" i="14"/>
  <c r="T7" i="4" s="1"/>
  <c r="CO14" i="14"/>
  <c r="V7" i="4" s="1"/>
  <c r="CY14" i="14"/>
  <c r="X7" i="4" s="1"/>
  <c r="DN5" i="14"/>
  <c r="Z15" i="12" s="1"/>
  <c r="BP16" i="14"/>
  <c r="Q23" i="4" s="1"/>
  <c r="BP20" i="14"/>
  <c r="BP24" i="14"/>
  <c r="Q87" i="4" s="1"/>
  <c r="DD9" i="14"/>
  <c r="X8" i="11" s="1"/>
  <c r="DN34" i="6"/>
  <c r="CT34" i="6"/>
  <c r="CE17" i="14"/>
  <c r="T31" i="4" s="1"/>
  <c r="CY18" i="14"/>
  <c r="X39" i="4" s="1"/>
  <c r="CY34" i="6"/>
  <c r="DD34" i="6"/>
  <c r="CO34" i="6"/>
  <c r="DI17" i="14"/>
  <c r="Z31" i="4" s="1"/>
  <c r="CJ18" i="14"/>
  <c r="U39" i="4" s="1"/>
  <c r="C41" i="11"/>
  <c r="C42" i="11" s="1"/>
  <c r="Z3" i="13"/>
  <c r="Y3" i="13"/>
  <c r="X3" i="13"/>
  <c r="X5" i="13" s="1"/>
  <c r="W3" i="13"/>
  <c r="V3" i="13"/>
  <c r="V5" i="13" s="1"/>
  <c r="U3" i="13"/>
  <c r="U5" i="13" s="1"/>
  <c r="T3" i="13"/>
  <c r="S3" i="13"/>
  <c r="R3" i="13"/>
  <c r="Q3" i="13"/>
  <c r="Q5" i="13" s="1"/>
  <c r="P3" i="13"/>
  <c r="P5" i="13" s="1"/>
  <c r="O3" i="13"/>
  <c r="O5" i="13" s="1"/>
  <c r="B4" i="13"/>
  <c r="O12" i="1"/>
  <c r="AP12" i="1" s="1"/>
  <c r="C8" i="13"/>
  <c r="D8" i="13"/>
  <c r="E8" i="13"/>
  <c r="G8" i="13"/>
  <c r="H8" i="13"/>
  <c r="BU24" i="14"/>
  <c r="R87" i="4" s="1"/>
  <c r="W4" i="13"/>
  <c r="R4" i="13"/>
  <c r="Y4" i="13"/>
  <c r="Z4" i="13"/>
  <c r="T4" i="13"/>
  <c r="S4" i="13"/>
  <c r="AU6" i="14"/>
  <c r="K23" i="12" s="1"/>
  <c r="AU5" i="14"/>
  <c r="BJ11" i="14"/>
  <c r="N24" i="11" s="1"/>
  <c r="BE23" i="14"/>
  <c r="N79" i="4" s="1"/>
  <c r="O20" i="1"/>
  <c r="AP20" i="1" s="1"/>
  <c r="O3" i="1"/>
  <c r="AP3" i="1" s="1"/>
  <c r="O19" i="1"/>
  <c r="AP19" i="1" s="1"/>
  <c r="O16" i="1"/>
  <c r="AP16" i="1" s="1"/>
  <c r="K38" i="11"/>
  <c r="O23" i="1"/>
  <c r="AP23" i="1" s="1"/>
  <c r="O15" i="1"/>
  <c r="O10" i="1"/>
  <c r="AP10" i="1" s="1"/>
  <c r="I4" i="13"/>
  <c r="I5" i="13" s="1"/>
  <c r="K4" i="13"/>
  <c r="K5" i="13" s="1"/>
  <c r="O21" i="1"/>
  <c r="AP21" i="1" s="1"/>
  <c r="O18" i="1"/>
  <c r="AP18" i="1" s="1"/>
  <c r="O13" i="1"/>
  <c r="O8" i="1"/>
  <c r="AP8" i="1" s="1"/>
  <c r="M4" i="13"/>
  <c r="M5" i="13" s="1"/>
  <c r="O5" i="1"/>
  <c r="AP5" i="1" s="1"/>
  <c r="O22" i="1"/>
  <c r="AP22" i="1" s="1"/>
  <c r="O17" i="1"/>
  <c r="AP17" i="1" s="1"/>
  <c r="O14" i="1"/>
  <c r="O9" i="1"/>
  <c r="AP9" i="1" s="1"/>
  <c r="O6" i="1"/>
  <c r="AP6" i="1" s="1"/>
  <c r="O4" i="1"/>
  <c r="AP4" i="1" s="1"/>
  <c r="O7" i="1"/>
  <c r="AP7" i="1" s="1"/>
  <c r="DS15" i="14"/>
  <c r="AB15" i="4" s="1"/>
  <c r="CE9" i="14"/>
  <c r="S8" i="11" s="1"/>
  <c r="CJ34" i="6"/>
  <c r="M71" i="4"/>
  <c r="DN17" i="14"/>
  <c r="DN18" i="14"/>
  <c r="AA39" i="4" s="1"/>
  <c r="DN19" i="14"/>
  <c r="AA47" i="4" s="1"/>
  <c r="DN20" i="14"/>
  <c r="AA55" i="4" s="1"/>
  <c r="DN21" i="14"/>
  <c r="AA63" i="4" s="1"/>
  <c r="DD7" i="14"/>
  <c r="X31" i="12" s="1"/>
  <c r="BZ10" i="14"/>
  <c r="R16" i="11" s="1"/>
  <c r="DD10" i="14"/>
  <c r="X16" i="11" s="1"/>
  <c r="DN10" i="14"/>
  <c r="Z16" i="11" s="1"/>
  <c r="CE12" i="14"/>
  <c r="S32" i="11" s="1"/>
  <c r="DS12" i="14"/>
  <c r="AA32" i="11" s="1"/>
  <c r="AU13" i="14"/>
  <c r="DI34" i="6"/>
  <c r="BE19" i="14"/>
  <c r="N47" i="4" s="1"/>
  <c r="DS16" i="14"/>
  <c r="AB23" i="4" s="1"/>
  <c r="L39" i="12"/>
  <c r="X6" i="12"/>
  <c r="AU22" i="14"/>
  <c r="L71" i="4" s="1"/>
  <c r="DI21" i="14"/>
  <c r="Z63" i="4" s="1"/>
  <c r="CO5" i="14"/>
  <c r="U15" i="12" s="1"/>
  <c r="CY5" i="14"/>
  <c r="W15" i="12" s="1"/>
  <c r="DI5" i="14"/>
  <c r="Y15" i="12" s="1"/>
  <c r="DI6" i="14"/>
  <c r="AU17" i="14"/>
  <c r="AU21" i="14"/>
  <c r="BU22" i="14"/>
  <c r="R71" i="4" s="1"/>
  <c r="AU20" i="14"/>
  <c r="L55" i="4" s="1"/>
  <c r="BJ21" i="14"/>
  <c r="O63" i="4" s="1"/>
  <c r="BZ20" i="14"/>
  <c r="S55" i="4" s="1"/>
  <c r="BZ22" i="14"/>
  <c r="S71" i="4" s="1"/>
  <c r="CE22" i="14"/>
  <c r="T71" i="4" s="1"/>
  <c r="T87" i="4"/>
  <c r="DD18" i="14"/>
  <c r="Y39" i="4" s="1"/>
  <c r="DD19" i="14"/>
  <c r="Y47" i="4" s="1"/>
  <c r="CY22" i="14"/>
  <c r="X71" i="4" s="1"/>
  <c r="CY4" i="14"/>
  <c r="DI4" i="14"/>
  <c r="Y7" i="12" s="1"/>
  <c r="DS4" i="14"/>
  <c r="DS5" i="14"/>
  <c r="AA15" i="12" s="1"/>
  <c r="BP13" i="14"/>
  <c r="P40" i="11" s="1"/>
  <c r="DD13" i="14"/>
  <c r="X40" i="11" s="1"/>
  <c r="DN13" i="14"/>
  <c r="Z40" i="11" s="1"/>
  <c r="AU18" i="14"/>
  <c r="BZ16" i="14"/>
  <c r="S23" i="4" s="1"/>
  <c r="BZ18" i="14"/>
  <c r="S39" i="4" s="1"/>
  <c r="BZ24" i="14"/>
  <c r="S87" i="4" s="1"/>
  <c r="CE16" i="14"/>
  <c r="T23" i="4" s="1"/>
  <c r="CE18" i="14"/>
  <c r="T39" i="4" s="1"/>
  <c r="CE20" i="14"/>
  <c r="T55" i="4" s="1"/>
  <c r="CJ16" i="14"/>
  <c r="U23" i="4" s="1"/>
  <c r="CJ20" i="14"/>
  <c r="U55" i="4" s="1"/>
  <c r="CJ22" i="14"/>
  <c r="U71" i="4" s="1"/>
  <c r="CJ24" i="14"/>
  <c r="U87" i="4" s="1"/>
  <c r="DD16" i="14"/>
  <c r="Y23" i="4" s="1"/>
  <c r="DD17" i="14"/>
  <c r="Y31" i="4" s="1"/>
  <c r="DD22" i="14"/>
  <c r="Y71" i="4" s="1"/>
  <c r="DD23" i="14"/>
  <c r="Y79" i="4" s="1"/>
  <c r="DI16" i="14"/>
  <c r="Z23" i="4" s="1"/>
  <c r="DI20" i="14"/>
  <c r="Z55" i="4" s="1"/>
  <c r="DS21" i="14"/>
  <c r="AB63" i="4" s="1"/>
  <c r="CE4" i="14"/>
  <c r="BE5" i="14"/>
  <c r="M15" i="12" s="1"/>
  <c r="DD6" i="14"/>
  <c r="X23" i="12" s="1"/>
  <c r="BP23" i="14"/>
  <c r="Q79" i="4" s="1"/>
  <c r="BJ9" i="14"/>
  <c r="N8" i="11" s="1"/>
  <c r="BJ13" i="14"/>
  <c r="N40" i="11" s="1"/>
  <c r="AU10" i="14"/>
  <c r="DD21" i="14"/>
  <c r="Y63" i="4" s="1"/>
  <c r="BZ5" i="14"/>
  <c r="R15" i="12" s="1"/>
  <c r="CE11" i="14"/>
  <c r="S24" i="11" s="1"/>
  <c r="DS11" i="14"/>
  <c r="AA24" i="11" s="1"/>
  <c r="DN12" i="14"/>
  <c r="Z32" i="11" s="1"/>
  <c r="AU14" i="14"/>
  <c r="AU23" i="14"/>
  <c r="L79" i="4" s="1"/>
  <c r="BE15" i="14"/>
  <c r="N15" i="4" s="1"/>
  <c r="BE24" i="14"/>
  <c r="BJ16" i="14"/>
  <c r="O23" i="4" s="1"/>
  <c r="BJ20" i="14"/>
  <c r="DD20" i="14"/>
  <c r="Y55" i="4" s="1"/>
  <c r="DI23" i="14"/>
  <c r="Z79" i="4" s="1"/>
  <c r="DN16" i="14"/>
  <c r="AA23" i="4" s="1"/>
  <c r="DS22" i="14"/>
  <c r="AB71" i="4" s="1"/>
  <c r="BE4" i="14"/>
  <c r="M7" i="12" s="1"/>
  <c r="CE5" i="14"/>
  <c r="S15" i="12" s="1"/>
  <c r="BE6" i="14"/>
  <c r="CE6" i="14"/>
  <c r="S23" i="12" s="1"/>
  <c r="BE7" i="14"/>
  <c r="M31" i="12" s="1"/>
  <c r="DN7" i="14"/>
  <c r="Z31" i="12" s="1"/>
  <c r="BJ8" i="14"/>
  <c r="N39" i="12" s="1"/>
  <c r="CE8" i="14"/>
  <c r="CO8" i="14"/>
  <c r="U39" i="12" s="1"/>
  <c r="DS8" i="14"/>
  <c r="AA39" i="12" s="1"/>
  <c r="BJ10" i="14"/>
  <c r="N16" i="11" s="1"/>
  <c r="BZ11" i="14"/>
  <c r="R24" i="11" s="1"/>
  <c r="CJ11" i="14"/>
  <c r="T24" i="11" s="1"/>
  <c r="DN11" i="14"/>
  <c r="Z24" i="11" s="1"/>
  <c r="L40" i="11"/>
  <c r="BE14" i="14"/>
  <c r="N7" i="4" s="1"/>
  <c r="DD14" i="14"/>
  <c r="Y7" i="4" s="1"/>
  <c r="DN14" i="14"/>
  <c r="AA7" i="4" s="1"/>
  <c r="AU11" i="14"/>
  <c r="K24" i="11" s="1"/>
  <c r="CJ14" i="14"/>
  <c r="U7" i="4" s="1"/>
  <c r="AU15" i="14"/>
  <c r="CO4" i="14"/>
  <c r="DS6" i="14"/>
  <c r="F7" i="13"/>
  <c r="F8" i="13" s="1"/>
  <c r="DD24" i="14"/>
  <c r="Y87" i="4" s="1"/>
  <c r="DD11" i="14"/>
  <c r="X24" i="11" s="1"/>
  <c r="M87" i="4"/>
  <c r="CO17" i="14"/>
  <c r="V31" i="4" s="1"/>
  <c r="CO18" i="14"/>
  <c r="V39" i="4" s="1"/>
  <c r="CY17" i="14"/>
  <c r="X31" i="4" s="1"/>
  <c r="DS23" i="14"/>
  <c r="AB79" i="4" s="1"/>
  <c r="DS24" i="14"/>
  <c r="AB87" i="4" s="1"/>
  <c r="BZ4" i="14"/>
  <c r="CT4" i="14"/>
  <c r="DD4" i="14"/>
  <c r="DD5" i="14"/>
  <c r="X15" i="12" s="1"/>
  <c r="CE7" i="14"/>
  <c r="S31" i="12" s="1"/>
  <c r="DI7" i="14"/>
  <c r="CJ10" i="14"/>
  <c r="T16" i="11" s="1"/>
  <c r="CT11" i="14"/>
  <c r="V24" i="11" s="1"/>
  <c r="DI12" i="14"/>
  <c r="Y32" i="11" s="1"/>
  <c r="DI13" i="14"/>
  <c r="Y40" i="11" s="1"/>
  <c r="AU12" i="14"/>
  <c r="K32" i="11" s="1"/>
  <c r="AU8" i="14"/>
  <c r="K39" i="12" s="1"/>
  <c r="AU24" i="14"/>
  <c r="L87" i="4" s="1"/>
  <c r="DI18" i="14"/>
  <c r="Z39" i="4" s="1"/>
  <c r="DI24" i="14"/>
  <c r="Z87" i="4" s="1"/>
  <c r="DN23" i="14"/>
  <c r="AA79" i="4" s="1"/>
  <c r="DN24" i="14"/>
  <c r="AA87" i="4" s="1"/>
  <c r="L7" i="12"/>
  <c r="DN4" i="14"/>
  <c r="L15" i="12"/>
  <c r="DN6" i="14"/>
  <c r="Z23" i="12" s="1"/>
  <c r="DS7" i="14"/>
  <c r="AA31" i="12" s="1"/>
  <c r="BE8" i="14"/>
  <c r="CJ8" i="14"/>
  <c r="T39" i="12" s="1"/>
  <c r="DN8" i="14"/>
  <c r="Z39" i="12" s="1"/>
  <c r="L16" i="11"/>
  <c r="DI11" i="14"/>
  <c r="Y24" i="11" s="1"/>
  <c r="BU14" i="14"/>
  <c r="DS14" i="14"/>
  <c r="AB7" i="4" s="1"/>
  <c r="AU19" i="14"/>
  <c r="L47" i="4" s="1"/>
  <c r="CT15" i="14"/>
  <c r="CT19" i="14"/>
  <c r="W47" i="4" s="1"/>
  <c r="CT23" i="14"/>
  <c r="W79" i="4" s="1"/>
  <c r="DS20" i="14"/>
  <c r="AB55" i="4" s="1"/>
  <c r="CY23" i="14"/>
  <c r="X79" i="4" s="1"/>
  <c r="CY24" i="14"/>
  <c r="X87" i="4" s="1"/>
  <c r="DS17" i="14"/>
  <c r="AB31" i="4" s="1"/>
  <c r="DD8" i="14"/>
  <c r="X39" i="12" s="1"/>
  <c r="CE10" i="14"/>
  <c r="S16" i="11" s="1"/>
  <c r="BP6" i="14"/>
  <c r="P23" i="12" s="1"/>
  <c r="BP22" i="14"/>
  <c r="Q71" i="4" s="1"/>
  <c r="DI14" i="14"/>
  <c r="Z7" i="4" s="1"/>
  <c r="AU16" i="14"/>
  <c r="L23" i="4" s="1"/>
  <c r="DS19" i="14"/>
  <c r="AB47" i="4" s="1"/>
  <c r="DI8" i="14"/>
  <c r="Y39" i="12" s="1"/>
  <c r="M23" i="4"/>
  <c r="CT21" i="14"/>
  <c r="W63" i="4" s="1"/>
  <c r="CT22" i="14"/>
  <c r="W71" i="4" s="1"/>
  <c r="CT24" i="14"/>
  <c r="W87" i="4" s="1"/>
  <c r="DI19" i="14"/>
  <c r="Z47" i="4" s="1"/>
  <c r="DI22" i="14"/>
  <c r="Z71" i="4" s="1"/>
  <c r="DS18" i="14"/>
  <c r="AB39" i="4" s="1"/>
  <c r="CY6" i="14"/>
  <c r="W23" i="12" s="1"/>
  <c r="L31" i="12"/>
  <c r="DI10" i="14"/>
  <c r="Y16" i="11" s="1"/>
  <c r="DS10" i="14"/>
  <c r="AA16" i="11" s="1"/>
  <c r="DD12" i="14"/>
  <c r="X32" i="11" s="1"/>
  <c r="BU4" i="14"/>
  <c r="Q7" i="12" s="1"/>
  <c r="AU7" i="14"/>
  <c r="K31" i="12" s="1"/>
  <c r="AU4" i="14"/>
  <c r="I23" i="12"/>
  <c r="H23" i="12"/>
  <c r="E23" i="12"/>
  <c r="K39" i="4"/>
  <c r="K15" i="4"/>
  <c r="F5" i="13"/>
  <c r="G5" i="13"/>
  <c r="H5" i="13"/>
  <c r="BJ7" i="14"/>
  <c r="N31" i="12" s="1"/>
  <c r="BP7" i="14"/>
  <c r="P31" i="12" s="1"/>
  <c r="BJ12" i="14"/>
  <c r="N32" i="11" s="1"/>
  <c r="CY8" i="14"/>
  <c r="W39" i="12" s="1"/>
  <c r="CJ12" i="14"/>
  <c r="T32" i="11" s="1"/>
  <c r="CJ23" i="14"/>
  <c r="U79" i="4" s="1"/>
  <c r="CJ5" i="14"/>
  <c r="CO7" i="14"/>
  <c r="U31" i="12" s="1"/>
  <c r="CO21" i="14"/>
  <c r="V63" i="4" s="1"/>
  <c r="CO9" i="14"/>
  <c r="U8" i="11" s="1"/>
  <c r="CO13" i="14"/>
  <c r="U40" i="11" s="1"/>
  <c r="CO23" i="14"/>
  <c r="V79" i="4" s="1"/>
  <c r="CO24" i="14"/>
  <c r="V87" i="4" s="1"/>
  <c r="CJ13" i="14"/>
  <c r="T40" i="11" s="1"/>
  <c r="CO11" i="14"/>
  <c r="U24" i="11" s="1"/>
  <c r="CJ7" i="14"/>
  <c r="T31" i="12" s="1"/>
  <c r="CO12" i="14"/>
  <c r="U32" i="11" s="1"/>
  <c r="CJ15" i="14"/>
  <c r="U15" i="4" s="1"/>
  <c r="CJ17" i="14"/>
  <c r="U31" i="4" s="1"/>
  <c r="CJ19" i="14"/>
  <c r="U47" i="4" s="1"/>
  <c r="CJ21" i="14"/>
  <c r="U63" i="4" s="1"/>
  <c r="CJ6" i="14"/>
  <c r="T23" i="12" s="1"/>
  <c r="CJ9" i="14"/>
  <c r="T8" i="11" s="1"/>
  <c r="CO10" i="14"/>
  <c r="U16" i="11" s="1"/>
  <c r="CO19" i="14"/>
  <c r="V47" i="4" s="1"/>
  <c r="CO20" i="14"/>
  <c r="V55" i="4" s="1"/>
  <c r="CO6" i="14"/>
  <c r="CJ4" i="14"/>
  <c r="BJ5" i="14"/>
  <c r="N15" i="12" s="1"/>
  <c r="BJ17" i="14"/>
  <c r="O31" i="4" s="1"/>
  <c r="BJ18" i="14"/>
  <c r="O39" i="4" s="1"/>
  <c r="BJ22" i="14"/>
  <c r="O71" i="4" s="1"/>
  <c r="BJ24" i="14"/>
  <c r="BP21" i="14"/>
  <c r="Q63" i="4" s="1"/>
  <c r="BJ34" i="6"/>
  <c r="BJ19" i="14"/>
  <c r="O47" i="4" s="1"/>
  <c r="BJ15" i="14"/>
  <c r="O15" i="4" s="1"/>
  <c r="BJ6" i="14"/>
  <c r="BP19" i="14"/>
  <c r="Q47" i="4" s="1"/>
  <c r="BK10" i="6"/>
  <c r="BJ23" i="14"/>
  <c r="BP9" i="14"/>
  <c r="P8" i="11" s="1"/>
  <c r="BP4" i="14"/>
  <c r="P7" i="12" s="1"/>
  <c r="BJ4" i="14"/>
  <c r="M15" i="4"/>
  <c r="BE21" i="14"/>
  <c r="N63" i="4" s="1"/>
  <c r="BE18" i="14"/>
  <c r="N39" i="4" s="1"/>
  <c r="BE22" i="14"/>
  <c r="N71" i="4" s="1"/>
  <c r="BE9" i="14"/>
  <c r="M8" i="11" s="1"/>
  <c r="BE17" i="14"/>
  <c r="N31" i="4" s="1"/>
  <c r="BE13" i="14"/>
  <c r="M40" i="11" s="1"/>
  <c r="L8" i="11"/>
  <c r="M55" i="4"/>
  <c r="BE20" i="14"/>
  <c r="L23" i="12"/>
  <c r="L24" i="11"/>
  <c r="BE11" i="14"/>
  <c r="M24" i="11" s="1"/>
  <c r="BE12" i="14"/>
  <c r="M32" i="11" s="1"/>
  <c r="L32" i="11"/>
  <c r="BE10" i="14"/>
  <c r="M16" i="11" s="1"/>
  <c r="BP15" i="14"/>
  <c r="Q15" i="4" s="1"/>
  <c r="BP8" i="14"/>
  <c r="BP18" i="14"/>
  <c r="Q39" i="4" s="1"/>
  <c r="BP17" i="14"/>
  <c r="Q31" i="4" s="1"/>
  <c r="S7" i="4"/>
  <c r="BZ8" i="14"/>
  <c r="R39" i="12" s="1"/>
  <c r="BU9" i="14"/>
  <c r="Q8" i="11" s="1"/>
  <c r="BP11" i="14"/>
  <c r="P24" i="11" s="1"/>
  <c r="BZ12" i="14"/>
  <c r="R32" i="11" s="1"/>
  <c r="CY11" i="14"/>
  <c r="W24" i="11" s="1"/>
  <c r="CT7" i="14"/>
  <c r="CT6" i="14"/>
  <c r="CY13" i="14"/>
  <c r="W40" i="11" s="1"/>
  <c r="CT16" i="14"/>
  <c r="W23" i="4" s="1"/>
  <c r="CY16" i="14"/>
  <c r="X23" i="4" s="1"/>
  <c r="CY7" i="14"/>
  <c r="W31" i="12" s="1"/>
  <c r="CT8" i="14"/>
  <c r="V39" i="12" s="1"/>
  <c r="CT17" i="14"/>
  <c r="CY10" i="14"/>
  <c r="W16" i="11" s="1"/>
  <c r="CY12" i="14"/>
  <c r="W32" i="11" s="1"/>
  <c r="CT18" i="14"/>
  <c r="W39" i="4" s="1"/>
  <c r="CT20" i="14"/>
  <c r="W55" i="4" s="1"/>
  <c r="CY19" i="14"/>
  <c r="X47" i="4" s="1"/>
  <c r="CY20" i="14"/>
  <c r="X55" i="4" s="1"/>
  <c r="CT10" i="14"/>
  <c r="V16" i="11" s="1"/>
  <c r="CT12" i="14"/>
  <c r="V32" i="11" s="1"/>
  <c r="CT13" i="14"/>
  <c r="V40" i="11" s="1"/>
  <c r="BZ9" i="14"/>
  <c r="R8" i="11" s="1"/>
  <c r="BZ13" i="14"/>
  <c r="R40" i="11" s="1"/>
  <c r="BU15" i="14"/>
  <c r="R15" i="4" s="1"/>
  <c r="BU21" i="14"/>
  <c r="BU23" i="14"/>
  <c r="R79" i="4" s="1"/>
  <c r="BU12" i="14"/>
  <c r="Q32" i="11" s="1"/>
  <c r="BP12" i="14"/>
  <c r="P32" i="11" s="1"/>
  <c r="BZ7" i="14"/>
  <c r="R31" i="12" s="1"/>
  <c r="BU16" i="14"/>
  <c r="R23" i="4" s="1"/>
  <c r="BU18" i="14"/>
  <c r="R39" i="4" s="1"/>
  <c r="BU20" i="14"/>
  <c r="R55" i="4" s="1"/>
  <c r="BZ6" i="14"/>
  <c r="BZ19" i="14"/>
  <c r="S47" i="4" s="1"/>
  <c r="BU6" i="14"/>
  <c r="BU19" i="14"/>
  <c r="R47" i="4" s="1"/>
  <c r="BU5" i="14"/>
  <c r="Q15" i="12" s="1"/>
  <c r="BU13" i="14"/>
  <c r="Q40" i="11" s="1"/>
  <c r="BU8" i="14"/>
  <c r="Q39" i="12" s="1"/>
  <c r="BU10" i="14"/>
  <c r="Q16" i="11" s="1"/>
  <c r="BU7" i="14"/>
  <c r="Q31" i="12" s="1"/>
  <c r="BP10" i="14"/>
  <c r="P16" i="11" s="1"/>
  <c r="BU11" i="14"/>
  <c r="Q24" i="11" s="1"/>
  <c r="CT5" i="14"/>
  <c r="V15" i="12" s="1"/>
  <c r="CY9" i="14"/>
  <c r="W8" i="11" s="1"/>
  <c r="J16" i="11"/>
  <c r="J32" i="11"/>
  <c r="J40" i="11"/>
  <c r="J24" i="11"/>
  <c r="K7" i="4"/>
  <c r="J8" i="11"/>
  <c r="J31" i="12"/>
  <c r="J23" i="12"/>
  <c r="J39" i="12"/>
  <c r="J15" i="12"/>
  <c r="DN15" i="14"/>
  <c r="DI15" i="14"/>
  <c r="Z15" i="4" s="1"/>
  <c r="DD15" i="14"/>
  <c r="Y15" i="4" s="1"/>
  <c r="CY15" i="14"/>
  <c r="CO15" i="14"/>
  <c r="BZ15" i="14"/>
  <c r="S15" i="4" s="1"/>
  <c r="BU17" i="14"/>
  <c r="R31" i="4" s="1"/>
  <c r="AA31" i="4"/>
  <c r="BZ17" i="14"/>
  <c r="S31" i="4" s="1"/>
  <c r="V71" i="4"/>
  <c r="M31" i="4"/>
  <c r="C15" i="11"/>
  <c r="O15" i="11" s="1"/>
  <c r="DT16" i="6"/>
  <c r="GC16" i="6" s="1"/>
  <c r="BK21" i="6"/>
  <c r="O39" i="11"/>
  <c r="DT24" i="6"/>
  <c r="GC24" i="6" s="1"/>
  <c r="AB38" i="11"/>
  <c r="AB39" i="11"/>
  <c r="E5" i="13"/>
  <c r="D5" i="13"/>
  <c r="C5" i="13"/>
  <c r="B5" i="13"/>
  <c r="N3" i="13"/>
  <c r="BK12" i="6"/>
  <c r="D86" i="4"/>
  <c r="P86" i="4" s="1"/>
  <c r="BK24" i="6"/>
  <c r="BK7" i="6"/>
  <c r="C30" i="12"/>
  <c r="E6" i="4"/>
  <c r="P6" i="4" s="1"/>
  <c r="BK14" i="6"/>
  <c r="AU33" i="6"/>
  <c r="AU34" i="6" s="1"/>
  <c r="DT8" i="6"/>
  <c r="GC8" i="6" s="1"/>
  <c r="P38" i="12"/>
  <c r="BK23" i="6"/>
  <c r="D78" i="4"/>
  <c r="P78" i="4" s="1"/>
  <c r="D14" i="4"/>
  <c r="BK15" i="6"/>
  <c r="BK17" i="6"/>
  <c r="DT11" i="6"/>
  <c r="GC11" i="6" s="1"/>
  <c r="D22" i="4"/>
  <c r="P22" i="4" s="1"/>
  <c r="BK16" i="6"/>
  <c r="E70" i="4"/>
  <c r="P70" i="4" s="1"/>
  <c r="BK22" i="6"/>
  <c r="DT17" i="6"/>
  <c r="GC17" i="6" s="1"/>
  <c r="DT13" i="6"/>
  <c r="GC13" i="6" s="1"/>
  <c r="DT18" i="6"/>
  <c r="GC18" i="6" s="1"/>
  <c r="BK5" i="6"/>
  <c r="BK8" i="6"/>
  <c r="BK11" i="6"/>
  <c r="DT12" i="6"/>
  <c r="GC12" i="6" s="1"/>
  <c r="DT7" i="6"/>
  <c r="GC7" i="6" s="1"/>
  <c r="DT9" i="6"/>
  <c r="GC9" i="6" s="1"/>
  <c r="DT10" i="6"/>
  <c r="GC10" i="6" s="1"/>
  <c r="C14" i="12"/>
  <c r="DT21" i="6"/>
  <c r="GC21" i="6" s="1"/>
  <c r="BK9" i="6"/>
  <c r="BK18" i="6"/>
  <c r="DT19" i="6"/>
  <c r="GC19" i="6" s="1"/>
  <c r="L63" i="4"/>
  <c r="Q33" i="6"/>
  <c r="Q6" i="12"/>
  <c r="AZ34" i="6"/>
  <c r="DT5" i="6"/>
  <c r="GC5" i="6" s="1"/>
  <c r="DT14" i="6"/>
  <c r="GC14" i="6" s="1"/>
  <c r="DT22" i="6"/>
  <c r="BK19" i="6"/>
  <c r="BE34" i="6"/>
  <c r="AK33" i="6"/>
  <c r="BK4" i="6"/>
  <c r="G33" i="6"/>
  <c r="BK6" i="6"/>
  <c r="DT6" i="6"/>
  <c r="GC6" i="6" s="1"/>
  <c r="DT15" i="6"/>
  <c r="GC15" i="6" s="1"/>
  <c r="DT23" i="6"/>
  <c r="H31" i="4"/>
  <c r="I31" i="4"/>
  <c r="BK13" i="6"/>
  <c r="J22" i="12"/>
  <c r="J6" i="12"/>
  <c r="J7" i="12"/>
  <c r="I7" i="12"/>
  <c r="H7" i="12"/>
  <c r="E7" i="12"/>
  <c r="C7" i="12"/>
  <c r="Z6" i="12"/>
  <c r="Y6" i="12"/>
  <c r="W6" i="12"/>
  <c r="V6" i="12"/>
  <c r="U6" i="12"/>
  <c r="T6" i="12"/>
  <c r="S6" i="12"/>
  <c r="N6" i="12"/>
  <c r="L6" i="12"/>
  <c r="AF33" i="6"/>
  <c r="AA33" i="6"/>
  <c r="V33" i="6"/>
  <c r="E6" i="12"/>
  <c r="L33" i="6"/>
  <c r="C6" i="12"/>
  <c r="AP33" i="6"/>
  <c r="AB23" i="11"/>
  <c r="AB31" i="11"/>
  <c r="AB7" i="11"/>
  <c r="P6" i="12"/>
  <c r="AB15" i="11"/>
  <c r="M6" i="12"/>
  <c r="K6" i="12"/>
  <c r="I6" i="12"/>
  <c r="G6" i="12"/>
  <c r="F6" i="12"/>
  <c r="D6" i="12"/>
  <c r="H7" i="11"/>
  <c r="O7" i="11" s="1"/>
  <c r="O23" i="11"/>
  <c r="O31" i="11"/>
  <c r="P30" i="4"/>
  <c r="P38" i="4"/>
  <c r="P46" i="4"/>
  <c r="P54" i="4"/>
  <c r="P62" i="4"/>
  <c r="AA37" i="12"/>
  <c r="Z37" i="12"/>
  <c r="Y37" i="12"/>
  <c r="X37" i="12"/>
  <c r="W37" i="12"/>
  <c r="V37" i="12"/>
  <c r="U37" i="12"/>
  <c r="T37" i="12"/>
  <c r="S37" i="12"/>
  <c r="R37" i="12"/>
  <c r="Q37" i="12"/>
  <c r="P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C40" i="12" s="1"/>
  <c r="A35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N29" i="12"/>
  <c r="M29" i="12"/>
  <c r="L29" i="12"/>
  <c r="K29" i="12"/>
  <c r="J29" i="12"/>
  <c r="I29" i="12"/>
  <c r="H29" i="12"/>
  <c r="G29" i="12"/>
  <c r="F29" i="12"/>
  <c r="E29" i="12"/>
  <c r="E32" i="12" s="1"/>
  <c r="D29" i="12"/>
  <c r="C29" i="12"/>
  <c r="C32" i="12" s="1"/>
  <c r="A27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C24" i="12" s="1"/>
  <c r="A19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N13" i="12"/>
  <c r="M13" i="12"/>
  <c r="L13" i="12"/>
  <c r="K13" i="12"/>
  <c r="J13" i="12"/>
  <c r="I13" i="12"/>
  <c r="H13" i="12"/>
  <c r="G13" i="12"/>
  <c r="F13" i="12"/>
  <c r="E13" i="12"/>
  <c r="E16" i="12" s="1"/>
  <c r="D13" i="12"/>
  <c r="C13" i="12"/>
  <c r="C16" i="12" s="1"/>
  <c r="A11" i="12"/>
  <c r="AA5" i="12"/>
  <c r="Z5" i="12"/>
  <c r="Y5" i="12"/>
  <c r="X5" i="12"/>
  <c r="W5" i="12"/>
  <c r="V5" i="12"/>
  <c r="U5" i="12"/>
  <c r="T5" i="12"/>
  <c r="S5" i="12"/>
  <c r="R5" i="12"/>
  <c r="Q5" i="12"/>
  <c r="P5" i="12"/>
  <c r="N5" i="12"/>
  <c r="M5" i="12"/>
  <c r="L5" i="12"/>
  <c r="K5" i="12"/>
  <c r="J5" i="12"/>
  <c r="F5" i="12"/>
  <c r="E5" i="12"/>
  <c r="D5" i="12"/>
  <c r="C5" i="12"/>
  <c r="A3" i="12"/>
  <c r="AA30" i="11"/>
  <c r="Z30" i="11"/>
  <c r="Y30" i="11"/>
  <c r="X30" i="11"/>
  <c r="W30" i="11"/>
  <c r="T30" i="11"/>
  <c r="S30" i="11"/>
  <c r="R30" i="11"/>
  <c r="Q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C33" i="11" s="1"/>
  <c r="A28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C25" i="11" s="1"/>
  <c r="C26" i="11" s="1"/>
  <c r="A20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N14" i="11"/>
  <c r="M14" i="11"/>
  <c r="L14" i="11"/>
  <c r="K14" i="11"/>
  <c r="I14" i="11"/>
  <c r="H14" i="11"/>
  <c r="G14" i="11"/>
  <c r="F14" i="11"/>
  <c r="E14" i="11"/>
  <c r="D14" i="11"/>
  <c r="C14" i="11"/>
  <c r="C17" i="11" s="1"/>
  <c r="C18" i="11" s="1"/>
  <c r="A12" i="11"/>
  <c r="AA6" i="11"/>
  <c r="Z6" i="11"/>
  <c r="Y6" i="11"/>
  <c r="X6" i="11"/>
  <c r="W6" i="11"/>
  <c r="V6" i="11"/>
  <c r="U6" i="11"/>
  <c r="T6" i="11"/>
  <c r="S6" i="11"/>
  <c r="R6" i="11"/>
  <c r="Q6" i="11"/>
  <c r="P6" i="11"/>
  <c r="N6" i="11"/>
  <c r="M6" i="11"/>
  <c r="L6" i="11"/>
  <c r="J6" i="11"/>
  <c r="I6" i="11"/>
  <c r="H6" i="11"/>
  <c r="G6" i="11"/>
  <c r="F6" i="11"/>
  <c r="E6" i="11"/>
  <c r="D6" i="11"/>
  <c r="C6" i="11"/>
  <c r="C9" i="11" s="1"/>
  <c r="A4" i="11"/>
  <c r="R85" i="4"/>
  <c r="S85" i="4"/>
  <c r="T85" i="4"/>
  <c r="U85" i="4"/>
  <c r="V85" i="4"/>
  <c r="W85" i="4"/>
  <c r="X85" i="4"/>
  <c r="Y85" i="4"/>
  <c r="Z85" i="4"/>
  <c r="AA85" i="4"/>
  <c r="AB85" i="4"/>
  <c r="Q85" i="4"/>
  <c r="E85" i="4"/>
  <c r="F85" i="4"/>
  <c r="G85" i="4"/>
  <c r="H85" i="4"/>
  <c r="I85" i="4"/>
  <c r="J85" i="4"/>
  <c r="K85" i="4"/>
  <c r="L85" i="4"/>
  <c r="M85" i="4"/>
  <c r="N85" i="4"/>
  <c r="O85" i="4"/>
  <c r="D85" i="4"/>
  <c r="D88" i="4" s="1"/>
  <c r="R77" i="4"/>
  <c r="S77" i="4"/>
  <c r="T77" i="4"/>
  <c r="U77" i="4"/>
  <c r="V77" i="4"/>
  <c r="W77" i="4"/>
  <c r="X77" i="4"/>
  <c r="Y77" i="4"/>
  <c r="Z77" i="4"/>
  <c r="AA77" i="4"/>
  <c r="AB77" i="4"/>
  <c r="Q77" i="4"/>
  <c r="E77" i="4"/>
  <c r="F77" i="4"/>
  <c r="G77" i="4"/>
  <c r="H77" i="4"/>
  <c r="I77" i="4"/>
  <c r="J77" i="4"/>
  <c r="K77" i="4"/>
  <c r="L77" i="4"/>
  <c r="M77" i="4"/>
  <c r="N77" i="4"/>
  <c r="O77" i="4"/>
  <c r="D77" i="4"/>
  <c r="D80" i="4" s="1"/>
  <c r="D81" i="4" s="1"/>
  <c r="R69" i="4"/>
  <c r="S69" i="4"/>
  <c r="T69" i="4"/>
  <c r="U69" i="4"/>
  <c r="V69" i="4"/>
  <c r="W69" i="4"/>
  <c r="X69" i="4"/>
  <c r="Y69" i="4"/>
  <c r="Z69" i="4"/>
  <c r="AA69" i="4"/>
  <c r="AB69" i="4"/>
  <c r="Q69" i="4"/>
  <c r="E69" i="4"/>
  <c r="F69" i="4"/>
  <c r="G69" i="4"/>
  <c r="H69" i="4"/>
  <c r="I69" i="4"/>
  <c r="J69" i="4"/>
  <c r="K69" i="4"/>
  <c r="L69" i="4"/>
  <c r="M69" i="4"/>
  <c r="N69" i="4"/>
  <c r="O69" i="4"/>
  <c r="D69" i="4"/>
  <c r="D72" i="4" s="1"/>
  <c r="R61" i="4"/>
  <c r="S61" i="4"/>
  <c r="T61" i="4"/>
  <c r="U61" i="4"/>
  <c r="V61" i="4"/>
  <c r="W61" i="4"/>
  <c r="X61" i="4"/>
  <c r="Y61" i="4"/>
  <c r="Z61" i="4"/>
  <c r="AA61" i="4"/>
  <c r="AB61" i="4"/>
  <c r="Q61" i="4"/>
  <c r="E61" i="4"/>
  <c r="F61" i="4"/>
  <c r="G61" i="4"/>
  <c r="H61" i="4"/>
  <c r="I61" i="4"/>
  <c r="J61" i="4"/>
  <c r="K61" i="4"/>
  <c r="L61" i="4"/>
  <c r="M61" i="4"/>
  <c r="N61" i="4"/>
  <c r="O61" i="4"/>
  <c r="D61" i="4"/>
  <c r="D64" i="4" s="1"/>
  <c r="R53" i="4"/>
  <c r="S53" i="4"/>
  <c r="T53" i="4"/>
  <c r="U53" i="4"/>
  <c r="V53" i="4"/>
  <c r="W53" i="4"/>
  <c r="X53" i="4"/>
  <c r="Y53" i="4"/>
  <c r="Z53" i="4"/>
  <c r="AA53" i="4"/>
  <c r="AB53" i="4"/>
  <c r="Q53" i="4"/>
  <c r="E53" i="4"/>
  <c r="F53" i="4"/>
  <c r="G53" i="4"/>
  <c r="H53" i="4"/>
  <c r="I53" i="4"/>
  <c r="J53" i="4"/>
  <c r="K53" i="4"/>
  <c r="L53" i="4"/>
  <c r="M53" i="4"/>
  <c r="N53" i="4"/>
  <c r="O53" i="4"/>
  <c r="D53" i="4"/>
  <c r="D56" i="4" s="1"/>
  <c r="R45" i="4"/>
  <c r="S45" i="4"/>
  <c r="T45" i="4"/>
  <c r="U45" i="4"/>
  <c r="V45" i="4"/>
  <c r="W45" i="4"/>
  <c r="X45" i="4"/>
  <c r="Y45" i="4"/>
  <c r="Z45" i="4"/>
  <c r="AA45" i="4"/>
  <c r="AB45" i="4"/>
  <c r="Q45" i="4"/>
  <c r="E45" i="4"/>
  <c r="F45" i="4"/>
  <c r="G45" i="4"/>
  <c r="H45" i="4"/>
  <c r="I45" i="4"/>
  <c r="J45" i="4"/>
  <c r="K45" i="4"/>
  <c r="L45" i="4"/>
  <c r="M45" i="4"/>
  <c r="N45" i="4"/>
  <c r="O45" i="4"/>
  <c r="D45" i="4"/>
  <c r="D48" i="4" s="1"/>
  <c r="D49" i="4" s="1"/>
  <c r="R37" i="4"/>
  <c r="S37" i="4"/>
  <c r="T37" i="4"/>
  <c r="U37" i="4"/>
  <c r="V37" i="4"/>
  <c r="W37" i="4"/>
  <c r="X37" i="4"/>
  <c r="Y37" i="4"/>
  <c r="Z37" i="4"/>
  <c r="AA37" i="4"/>
  <c r="AB37" i="4"/>
  <c r="E37" i="4"/>
  <c r="F37" i="4"/>
  <c r="G37" i="4"/>
  <c r="H37" i="4"/>
  <c r="I37" i="4"/>
  <c r="J37" i="4"/>
  <c r="K37" i="4"/>
  <c r="L37" i="4"/>
  <c r="M37" i="4"/>
  <c r="N37" i="4"/>
  <c r="D37" i="4"/>
  <c r="D40" i="4" s="1"/>
  <c r="D41" i="4" s="1"/>
  <c r="R29" i="4"/>
  <c r="S29" i="4"/>
  <c r="T29" i="4"/>
  <c r="U29" i="4"/>
  <c r="V29" i="4"/>
  <c r="W29" i="4"/>
  <c r="X29" i="4"/>
  <c r="Y29" i="4"/>
  <c r="Z29" i="4"/>
  <c r="AA29" i="4"/>
  <c r="AB29" i="4"/>
  <c r="Q29" i="4"/>
  <c r="E29" i="4"/>
  <c r="F29" i="4"/>
  <c r="G29" i="4"/>
  <c r="H29" i="4"/>
  <c r="I29" i="4"/>
  <c r="J29" i="4"/>
  <c r="K29" i="4"/>
  <c r="L29" i="4"/>
  <c r="M29" i="4"/>
  <c r="N29" i="4"/>
  <c r="O29" i="4"/>
  <c r="D29" i="4"/>
  <c r="D32" i="4" s="1"/>
  <c r="R21" i="4"/>
  <c r="S21" i="4"/>
  <c r="T21" i="4"/>
  <c r="U21" i="4"/>
  <c r="V21" i="4"/>
  <c r="W21" i="4"/>
  <c r="X21" i="4"/>
  <c r="Y21" i="4"/>
  <c r="Z21" i="4"/>
  <c r="AA21" i="4"/>
  <c r="AB21" i="4"/>
  <c r="Q21" i="4"/>
  <c r="E21" i="4"/>
  <c r="F21" i="4"/>
  <c r="G21" i="4"/>
  <c r="H21" i="4"/>
  <c r="I21" i="4"/>
  <c r="J21" i="4"/>
  <c r="K21" i="4"/>
  <c r="L21" i="4"/>
  <c r="M21" i="4"/>
  <c r="O21" i="4"/>
  <c r="D21" i="4"/>
  <c r="D24" i="4" s="1"/>
  <c r="R13" i="4"/>
  <c r="S13" i="4"/>
  <c r="T13" i="4"/>
  <c r="U13" i="4"/>
  <c r="V13" i="4"/>
  <c r="W13" i="4"/>
  <c r="X13" i="4"/>
  <c r="Y13" i="4"/>
  <c r="Z13" i="4"/>
  <c r="AA13" i="4"/>
  <c r="AB13" i="4"/>
  <c r="Q13" i="4"/>
  <c r="D13" i="4"/>
  <c r="D16" i="4" s="1"/>
  <c r="D17" i="4" s="1"/>
  <c r="R5" i="4"/>
  <c r="S5" i="4"/>
  <c r="T5" i="4"/>
  <c r="U5" i="4"/>
  <c r="V5" i="4"/>
  <c r="W5" i="4"/>
  <c r="X5" i="4"/>
  <c r="Y5" i="4"/>
  <c r="Z5" i="4"/>
  <c r="AA5" i="4"/>
  <c r="AB5" i="4"/>
  <c r="D5" i="4"/>
  <c r="D8" i="4" s="1"/>
  <c r="D9" i="4" s="1"/>
  <c r="B83" i="4"/>
  <c r="B75" i="4"/>
  <c r="B67" i="4"/>
  <c r="B59" i="4"/>
  <c r="B51" i="4"/>
  <c r="B43" i="4"/>
  <c r="B35" i="4"/>
  <c r="B27" i="4"/>
  <c r="B19" i="4"/>
  <c r="B11" i="4"/>
  <c r="B3" i="4"/>
  <c r="AO30" i="8" l="1"/>
  <c r="P13" i="4"/>
  <c r="AP14" i="1"/>
  <c r="AO30" i="1"/>
  <c r="AK31" i="8"/>
  <c r="AK31" i="1" s="1"/>
  <c r="AO31" i="1"/>
  <c r="AO31" i="8"/>
  <c r="AI34" i="1"/>
  <c r="AK29" i="8"/>
  <c r="AK29" i="1" s="1"/>
  <c r="BJ33" i="14"/>
  <c r="AU33" i="14"/>
  <c r="GC22" i="6"/>
  <c r="DT33" i="6"/>
  <c r="DT35" i="6" s="1"/>
  <c r="DT36" i="6" s="1"/>
  <c r="O32" i="1"/>
  <c r="O34" i="1"/>
  <c r="T15" i="12"/>
  <c r="DT5" i="14"/>
  <c r="DT4" i="14"/>
  <c r="V23" i="12"/>
  <c r="DT6" i="14"/>
  <c r="V31" i="12"/>
  <c r="DT7" i="14"/>
  <c r="BK33" i="6"/>
  <c r="BK34" i="6" s="1"/>
  <c r="T7" i="12"/>
  <c r="CJ33" i="14"/>
  <c r="Z7" i="12"/>
  <c r="DN33" i="14"/>
  <c r="X7" i="12"/>
  <c r="DD33" i="14"/>
  <c r="V7" i="12"/>
  <c r="CT33" i="14"/>
  <c r="R7" i="12"/>
  <c r="BZ33" i="14"/>
  <c r="BZ34" i="14" s="1"/>
  <c r="U7" i="12"/>
  <c r="CO33" i="14"/>
  <c r="S7" i="12"/>
  <c r="CE33" i="14"/>
  <c r="AA7" i="12"/>
  <c r="DS33" i="14"/>
  <c r="W7" i="12"/>
  <c r="CY33" i="14"/>
  <c r="Y31" i="12"/>
  <c r="DI33" i="14"/>
  <c r="R63" i="4"/>
  <c r="AC63" i="4" s="1"/>
  <c r="BU33" i="14"/>
  <c r="Q55" i="4"/>
  <c r="AC55" i="4" s="1"/>
  <c r="BP33" i="14"/>
  <c r="GC23" i="6"/>
  <c r="N87" i="4"/>
  <c r="BE33" i="14"/>
  <c r="M39" i="12"/>
  <c r="C10" i="11"/>
  <c r="C41" i="12"/>
  <c r="E33" i="12"/>
  <c r="BK14" i="14"/>
  <c r="E8" i="12"/>
  <c r="C8" i="12"/>
  <c r="C9" i="12" s="1"/>
  <c r="L7" i="4"/>
  <c r="P7" i="4" s="1"/>
  <c r="Z5" i="13"/>
  <c r="R5" i="13"/>
  <c r="W5" i="13"/>
  <c r="C25" i="12"/>
  <c r="H6" i="13"/>
  <c r="D25" i="4"/>
  <c r="D33" i="4"/>
  <c r="C34" i="11"/>
  <c r="E17" i="12"/>
  <c r="C33" i="12"/>
  <c r="D36" i="11"/>
  <c r="D41" i="11" s="1"/>
  <c r="D42" i="11" s="1"/>
  <c r="D57" i="4"/>
  <c r="D65" i="4"/>
  <c r="D73" i="4"/>
  <c r="C17" i="12"/>
  <c r="BK23" i="14"/>
  <c r="H9" i="13"/>
  <c r="S5" i="13"/>
  <c r="AA3" i="13"/>
  <c r="T5" i="13"/>
  <c r="Y5" i="13"/>
  <c r="E83" i="4"/>
  <c r="E88" i="4" s="1"/>
  <c r="D89" i="4"/>
  <c r="J4" i="13"/>
  <c r="J5" i="13" s="1"/>
  <c r="DT14" i="14"/>
  <c r="AA4" i="13"/>
  <c r="AE5" i="4"/>
  <c r="AP5" i="4" s="1"/>
  <c r="BK21" i="14"/>
  <c r="BK10" i="14"/>
  <c r="O38" i="11"/>
  <c r="E3" i="4"/>
  <c r="E8" i="4" s="1"/>
  <c r="BK16" i="14"/>
  <c r="Y23" i="12"/>
  <c r="BK8" i="14"/>
  <c r="M23" i="12"/>
  <c r="R7" i="4"/>
  <c r="AC7" i="4" s="1"/>
  <c r="BK18" i="14"/>
  <c r="M63" i="4"/>
  <c r="P63" i="4" s="1"/>
  <c r="R23" i="12"/>
  <c r="K16" i="11"/>
  <c r="O16" i="11" s="1"/>
  <c r="BK9" i="14"/>
  <c r="O79" i="4"/>
  <c r="DT24" i="14"/>
  <c r="AA23" i="12"/>
  <c r="DT22" i="14"/>
  <c r="BK22" i="14"/>
  <c r="BK4" i="14"/>
  <c r="N23" i="12"/>
  <c r="BK24" i="14"/>
  <c r="U23" i="12"/>
  <c r="P23" i="4"/>
  <c r="W31" i="4"/>
  <c r="BK7" i="14"/>
  <c r="BK17" i="14"/>
  <c r="AB16" i="11"/>
  <c r="O87" i="4"/>
  <c r="P87" i="4" s="1"/>
  <c r="BK5" i="14"/>
  <c r="N7" i="12"/>
  <c r="BK19" i="14"/>
  <c r="BK15" i="14"/>
  <c r="AB24" i="11"/>
  <c r="BK6" i="14"/>
  <c r="BK20" i="14"/>
  <c r="M47" i="4"/>
  <c r="P47" i="4" s="1"/>
  <c r="M39" i="4"/>
  <c r="BK13" i="14"/>
  <c r="O32" i="11"/>
  <c r="BK12" i="14"/>
  <c r="BK11" i="14"/>
  <c r="DT23" i="14"/>
  <c r="Q23" i="12"/>
  <c r="AB32" i="11"/>
  <c r="AB8" i="11"/>
  <c r="DT10" i="14"/>
  <c r="DT20" i="14"/>
  <c r="DT9" i="14"/>
  <c r="DT12" i="14"/>
  <c r="AB40" i="11"/>
  <c r="DT16" i="14"/>
  <c r="DT8" i="14"/>
  <c r="DT13" i="14"/>
  <c r="DT11" i="14"/>
  <c r="DT19" i="14"/>
  <c r="P39" i="12"/>
  <c r="AB39" i="12" s="1"/>
  <c r="O24" i="11"/>
  <c r="AA15" i="4"/>
  <c r="X15" i="4"/>
  <c r="V15" i="4"/>
  <c r="W15" i="4"/>
  <c r="DT17" i="14"/>
  <c r="DT21" i="14"/>
  <c r="DT18" i="14"/>
  <c r="DT15" i="14"/>
  <c r="P71" i="4"/>
  <c r="O55" i="4"/>
  <c r="N55" i="4"/>
  <c r="K8" i="11"/>
  <c r="O8" i="11" s="1"/>
  <c r="K15" i="12"/>
  <c r="L15" i="4"/>
  <c r="K40" i="11"/>
  <c r="O40" i="11" s="1"/>
  <c r="L31" i="4"/>
  <c r="L39" i="4"/>
  <c r="K7" i="12"/>
  <c r="AC5" i="4"/>
  <c r="AC6" i="4"/>
  <c r="AC13" i="4"/>
  <c r="E75" i="4"/>
  <c r="E80" i="4" s="1"/>
  <c r="AC38" i="4"/>
  <c r="AC39" i="4"/>
  <c r="AC21" i="4"/>
  <c r="AC37" i="4"/>
  <c r="AC22" i="4"/>
  <c r="AC23" i="4"/>
  <c r="AC87" i="4"/>
  <c r="AC47" i="4"/>
  <c r="AC71" i="4"/>
  <c r="AC62" i="4"/>
  <c r="P53" i="4"/>
  <c r="AC53" i="4"/>
  <c r="AC85" i="4"/>
  <c r="AC86" i="4"/>
  <c r="P29" i="4"/>
  <c r="AC29" i="4"/>
  <c r="P61" i="4"/>
  <c r="AC30" i="4"/>
  <c r="AC79" i="4"/>
  <c r="O37" i="12"/>
  <c r="O13" i="12"/>
  <c r="O29" i="12"/>
  <c r="O31" i="12"/>
  <c r="AB31" i="12"/>
  <c r="O38" i="12"/>
  <c r="O14" i="12"/>
  <c r="AB22" i="12"/>
  <c r="O39" i="12"/>
  <c r="O6" i="12"/>
  <c r="AB14" i="12"/>
  <c r="O22" i="12"/>
  <c r="AB6" i="12"/>
  <c r="AB13" i="12"/>
  <c r="AB5" i="12"/>
  <c r="AB37" i="12"/>
  <c r="AB38" i="12"/>
  <c r="O21" i="12"/>
  <c r="D11" i="12"/>
  <c r="D16" i="12" s="1"/>
  <c r="D17" i="12" s="1"/>
  <c r="O30" i="12"/>
  <c r="D19" i="12"/>
  <c r="D24" i="12" s="1"/>
  <c r="D25" i="12" s="1"/>
  <c r="AB29" i="12"/>
  <c r="AB21" i="12"/>
  <c r="D35" i="12"/>
  <c r="D40" i="12" s="1"/>
  <c r="D41" i="12" s="1"/>
  <c r="AB30" i="12"/>
  <c r="D27" i="12"/>
  <c r="D32" i="12" s="1"/>
  <c r="D33" i="12" s="1"/>
  <c r="AB22" i="11"/>
  <c r="D20" i="11"/>
  <c r="D25" i="11" s="1"/>
  <c r="O14" i="11"/>
  <c r="AB14" i="11"/>
  <c r="AB30" i="11"/>
  <c r="AB6" i="11"/>
  <c r="D12" i="11"/>
  <c r="D17" i="11" s="1"/>
  <c r="O22" i="11"/>
  <c r="O6" i="11"/>
  <c r="O30" i="11"/>
  <c r="D28" i="11"/>
  <c r="D4" i="11"/>
  <c r="D9" i="11" s="1"/>
  <c r="P85" i="4"/>
  <c r="AC78" i="4"/>
  <c r="AC77" i="4"/>
  <c r="AC70" i="4"/>
  <c r="P69" i="4"/>
  <c r="AC61" i="4"/>
  <c r="AC54" i="4"/>
  <c r="AC45" i="4"/>
  <c r="AC46" i="4"/>
  <c r="P45" i="4"/>
  <c r="E35" i="4"/>
  <c r="E40" i="4" s="1"/>
  <c r="E19" i="4"/>
  <c r="E24" i="4" s="1"/>
  <c r="P77" i="4"/>
  <c r="AC69" i="4"/>
  <c r="E59" i="4"/>
  <c r="E64" i="4" s="1"/>
  <c r="E43" i="4"/>
  <c r="E48" i="4" s="1"/>
  <c r="P37" i="4"/>
  <c r="E27" i="4"/>
  <c r="E32" i="4" s="1"/>
  <c r="P21" i="4"/>
  <c r="E11" i="4"/>
  <c r="E16" i="4" s="1"/>
  <c r="P5" i="4"/>
  <c r="O4" i="8"/>
  <c r="O5" i="8"/>
  <c r="G5" i="12"/>
  <c r="H5" i="12"/>
  <c r="I5" i="12"/>
  <c r="O3" i="8"/>
  <c r="DT33" i="14" l="1"/>
  <c r="AJ34" i="1"/>
  <c r="AO29" i="8"/>
  <c r="AO34" i="8" s="1"/>
  <c r="AK34" i="8"/>
  <c r="AC15" i="4"/>
  <c r="O32" i="8"/>
  <c r="O34" i="8"/>
  <c r="BK33" i="14"/>
  <c r="E36" i="11"/>
  <c r="E41" i="11" s="1"/>
  <c r="F36" i="11" s="1"/>
  <c r="E9" i="12"/>
  <c r="D3" i="12"/>
  <c r="D8" i="12" s="1"/>
  <c r="D9" i="12" s="1"/>
  <c r="GC4" i="6"/>
  <c r="GC33" i="6" s="1"/>
  <c r="N4" i="13"/>
  <c r="N5" i="13" s="1"/>
  <c r="AA5" i="13"/>
  <c r="F11" i="4"/>
  <c r="E17" i="4"/>
  <c r="F27" i="4"/>
  <c r="E33" i="4"/>
  <c r="F43" i="4"/>
  <c r="E49" i="4"/>
  <c r="F59" i="4"/>
  <c r="E65" i="4"/>
  <c r="F19" i="4"/>
  <c r="E25" i="4"/>
  <c r="F35" i="4"/>
  <c r="E41" i="4"/>
  <c r="E4" i="11"/>
  <c r="E9" i="11" s="1"/>
  <c r="D10" i="11"/>
  <c r="E12" i="11"/>
  <c r="E17" i="11" s="1"/>
  <c r="D18" i="11"/>
  <c r="E20" i="11"/>
  <c r="E25" i="11" s="1"/>
  <c r="F20" i="11" s="1"/>
  <c r="D26" i="11"/>
  <c r="F75" i="4"/>
  <c r="E81" i="4"/>
  <c r="F3" i="4"/>
  <c r="E9" i="4"/>
  <c r="F83" i="4"/>
  <c r="E89" i="4"/>
  <c r="D33" i="11"/>
  <c r="P79" i="4"/>
  <c r="AC31" i="4"/>
  <c r="P31" i="4"/>
  <c r="E51" i="4"/>
  <c r="E67" i="4"/>
  <c r="P39" i="4"/>
  <c r="P55" i="4"/>
  <c r="O7" i="12"/>
  <c r="AB23" i="12"/>
  <c r="O15" i="12"/>
  <c r="AB15" i="12"/>
  <c r="AB7" i="12"/>
  <c r="O23" i="12"/>
  <c r="O5" i="12"/>
  <c r="AK34" i="1" l="1"/>
  <c r="AO29" i="1"/>
  <c r="AO34" i="1" s="1"/>
  <c r="E28" i="11"/>
  <c r="E33" i="11" s="1"/>
  <c r="F28" i="11" s="1"/>
  <c r="D34" i="11"/>
  <c r="E42" i="11"/>
  <c r="E26" i="11"/>
  <c r="F12" i="11"/>
  <c r="F17" i="11" s="1"/>
  <c r="E18" i="11"/>
  <c r="F4" i="11"/>
  <c r="F9" i="11" s="1"/>
  <c r="E10" i="11"/>
  <c r="F25" i="11"/>
  <c r="G20" i="11" s="1"/>
  <c r="E72" i="4"/>
  <c r="E56" i="4"/>
  <c r="E19" i="12"/>
  <c r="E24" i="12" s="1"/>
  <c r="E25" i="12" s="1"/>
  <c r="F41" i="11"/>
  <c r="G36" i="11" s="1"/>
  <c r="F8" i="4"/>
  <c r="E35" i="12"/>
  <c r="F27" i="12"/>
  <c r="F32" i="12" s="1"/>
  <c r="F33" i="12" s="1"/>
  <c r="F3" i="12"/>
  <c r="F11" i="12"/>
  <c r="F16" i="12" s="1"/>
  <c r="F17" i="12" s="1"/>
  <c r="E34" i="11" l="1"/>
  <c r="E57" i="4"/>
  <c r="F51" i="4"/>
  <c r="F67" i="4"/>
  <c r="F72" i="4" s="1"/>
  <c r="E73" i="4"/>
  <c r="F42" i="11"/>
  <c r="G25" i="11"/>
  <c r="H20" i="11" s="1"/>
  <c r="F26" i="11"/>
  <c r="G12" i="11"/>
  <c r="G17" i="11" s="1"/>
  <c r="F18" i="11"/>
  <c r="G4" i="11"/>
  <c r="G9" i="11" s="1"/>
  <c r="F10" i="11"/>
  <c r="G3" i="4"/>
  <c r="G8" i="4" s="1"/>
  <c r="F9" i="4"/>
  <c r="E40" i="12"/>
  <c r="E41" i="12" s="1"/>
  <c r="F19" i="12"/>
  <c r="F24" i="12" s="1"/>
  <c r="F25" i="12" s="1"/>
  <c r="F8" i="12"/>
  <c r="F9" i="12" s="1"/>
  <c r="F33" i="11"/>
  <c r="F88" i="4"/>
  <c r="F80" i="4"/>
  <c r="F64" i="4"/>
  <c r="F48" i="4"/>
  <c r="F40" i="4"/>
  <c r="F32" i="4"/>
  <c r="F24" i="4"/>
  <c r="F16" i="4"/>
  <c r="G41" i="11"/>
  <c r="H36" i="11" s="1"/>
  <c r="F35" i="12" l="1"/>
  <c r="F40" i="12" s="1"/>
  <c r="F41" i="12" s="1"/>
  <c r="G42" i="11"/>
  <c r="G28" i="11"/>
  <c r="G33" i="11" s="1"/>
  <c r="F34" i="11"/>
  <c r="H25" i="11"/>
  <c r="I20" i="11" s="1"/>
  <c r="G26" i="11"/>
  <c r="H12" i="11"/>
  <c r="H17" i="11" s="1"/>
  <c r="G18" i="11"/>
  <c r="H4" i="11"/>
  <c r="H9" i="11" s="1"/>
  <c r="G10" i="11"/>
  <c r="G83" i="4"/>
  <c r="F89" i="4"/>
  <c r="G75" i="4"/>
  <c r="G80" i="4" s="1"/>
  <c r="F81" i="4"/>
  <c r="G67" i="4"/>
  <c r="G72" i="4" s="1"/>
  <c r="F73" i="4"/>
  <c r="G59" i="4"/>
  <c r="G64" i="4" s="1"/>
  <c r="F65" i="4"/>
  <c r="G43" i="4"/>
  <c r="G48" i="4" s="1"/>
  <c r="F49" i="4"/>
  <c r="G35" i="4"/>
  <c r="G40" i="4" s="1"/>
  <c r="F41" i="4"/>
  <c r="G27" i="4"/>
  <c r="F33" i="4"/>
  <c r="G19" i="4"/>
  <c r="F25" i="4"/>
  <c r="G11" i="4"/>
  <c r="F17" i="4"/>
  <c r="H3" i="4"/>
  <c r="H8" i="4" s="1"/>
  <c r="G9" i="4"/>
  <c r="F56" i="4"/>
  <c r="G51" i="4" s="1"/>
  <c r="G11" i="12"/>
  <c r="G27" i="12"/>
  <c r="G3" i="12"/>
  <c r="G19" i="12"/>
  <c r="H41" i="11"/>
  <c r="I36" i="11" s="1"/>
  <c r="G35" i="12" l="1"/>
  <c r="H42" i="11"/>
  <c r="H28" i="11"/>
  <c r="H33" i="11" s="1"/>
  <c r="G34" i="11"/>
  <c r="I25" i="11"/>
  <c r="J20" i="11" s="1"/>
  <c r="H26" i="11"/>
  <c r="I12" i="11"/>
  <c r="I17" i="11" s="1"/>
  <c r="H18" i="11"/>
  <c r="I4" i="11"/>
  <c r="I9" i="11" s="1"/>
  <c r="H10" i="11"/>
  <c r="H75" i="4"/>
  <c r="H80" i="4" s="1"/>
  <c r="G81" i="4"/>
  <c r="H67" i="4"/>
  <c r="H72" i="4" s="1"/>
  <c r="G73" i="4"/>
  <c r="H59" i="4"/>
  <c r="H64" i="4" s="1"/>
  <c r="G65" i="4"/>
  <c r="H43" i="4"/>
  <c r="G49" i="4"/>
  <c r="H35" i="4"/>
  <c r="H40" i="4" s="1"/>
  <c r="G41" i="4"/>
  <c r="I3" i="4"/>
  <c r="I8" i="4" s="1"/>
  <c r="H9" i="4"/>
  <c r="G56" i="4"/>
  <c r="H51" i="4" s="1"/>
  <c r="F57" i="4"/>
  <c r="G40" i="12"/>
  <c r="G41" i="12" s="1"/>
  <c r="G32" i="12"/>
  <c r="G33" i="12" s="1"/>
  <c r="G24" i="12"/>
  <c r="G25" i="12" s="1"/>
  <c r="G16" i="12"/>
  <c r="G17" i="12" s="1"/>
  <c r="G8" i="12"/>
  <c r="G9" i="12" s="1"/>
  <c r="G88" i="4"/>
  <c r="G32" i="4"/>
  <c r="G24" i="4"/>
  <c r="G16" i="4"/>
  <c r="I41" i="11"/>
  <c r="J36" i="11" s="1"/>
  <c r="H27" i="12" l="1"/>
  <c r="H32" i="12" s="1"/>
  <c r="H33" i="12" s="1"/>
  <c r="H11" i="12"/>
  <c r="H16" i="12" s="1"/>
  <c r="H17" i="12" s="1"/>
  <c r="H35" i="12"/>
  <c r="H40" i="12" s="1"/>
  <c r="H41" i="12" s="1"/>
  <c r="H3" i="12"/>
  <c r="H8" i="12" s="1"/>
  <c r="H9" i="12" s="1"/>
  <c r="I42" i="11"/>
  <c r="I28" i="11"/>
  <c r="I33" i="11" s="1"/>
  <c r="H34" i="11"/>
  <c r="I26" i="11"/>
  <c r="J25" i="11"/>
  <c r="K20" i="11" s="1"/>
  <c r="J12" i="11"/>
  <c r="J17" i="11" s="1"/>
  <c r="K12" i="11" s="1"/>
  <c r="I18" i="11"/>
  <c r="J4" i="11"/>
  <c r="J9" i="11" s="1"/>
  <c r="I10" i="11"/>
  <c r="H83" i="4"/>
  <c r="H88" i="4" s="1"/>
  <c r="G89" i="4"/>
  <c r="I75" i="4"/>
  <c r="I80" i="4" s="1"/>
  <c r="H81" i="4"/>
  <c r="I67" i="4"/>
  <c r="H73" i="4"/>
  <c r="I59" i="4"/>
  <c r="H65" i="4"/>
  <c r="I35" i="4"/>
  <c r="I40" i="4" s="1"/>
  <c r="H41" i="4"/>
  <c r="H27" i="4"/>
  <c r="H32" i="4" s="1"/>
  <c r="G33" i="4"/>
  <c r="H19" i="4"/>
  <c r="H24" i="4" s="1"/>
  <c r="G25" i="4"/>
  <c r="H11" i="4"/>
  <c r="H16" i="4" s="1"/>
  <c r="G17" i="4"/>
  <c r="J3" i="4"/>
  <c r="J8" i="4" s="1"/>
  <c r="I9" i="4"/>
  <c r="H56" i="4"/>
  <c r="I51" i="4" s="1"/>
  <c r="G57" i="4"/>
  <c r="H19" i="12"/>
  <c r="H48" i="4"/>
  <c r="J41" i="11"/>
  <c r="K36" i="11" s="1"/>
  <c r="I11" i="12" l="1"/>
  <c r="I16" i="12" s="1"/>
  <c r="I17" i="12" s="1"/>
  <c r="I27" i="12"/>
  <c r="I32" i="12" s="1"/>
  <c r="I33" i="12" s="1"/>
  <c r="J42" i="11"/>
  <c r="J28" i="11"/>
  <c r="J33" i="11" s="1"/>
  <c r="I34" i="11"/>
  <c r="J26" i="11"/>
  <c r="K25" i="11"/>
  <c r="L20" i="11" s="1"/>
  <c r="J18" i="11"/>
  <c r="K4" i="11"/>
  <c r="J10" i="11"/>
  <c r="I83" i="4"/>
  <c r="I88" i="4" s="1"/>
  <c r="H89" i="4"/>
  <c r="J75" i="4"/>
  <c r="I81" i="4"/>
  <c r="I43" i="4"/>
  <c r="I48" i="4" s="1"/>
  <c r="H49" i="4"/>
  <c r="J35" i="4"/>
  <c r="J40" i="4" s="1"/>
  <c r="I41" i="4"/>
  <c r="I27" i="4"/>
  <c r="I32" i="4" s="1"/>
  <c r="H33" i="4"/>
  <c r="I19" i="4"/>
  <c r="I24" i="4" s="1"/>
  <c r="H25" i="4"/>
  <c r="I11" i="4"/>
  <c r="I16" i="4" s="1"/>
  <c r="H17" i="4"/>
  <c r="K3" i="4"/>
  <c r="K8" i="4" s="1"/>
  <c r="J9" i="4"/>
  <c r="H57" i="4"/>
  <c r="I35" i="12"/>
  <c r="H24" i="12"/>
  <c r="I3" i="12"/>
  <c r="I72" i="4"/>
  <c r="I64" i="4"/>
  <c r="I56" i="4"/>
  <c r="J51" i="4" s="1"/>
  <c r="K41" i="11"/>
  <c r="L36" i="11" s="1"/>
  <c r="K17" i="11"/>
  <c r="L12" i="11" s="1"/>
  <c r="J27" i="12" l="1"/>
  <c r="J32" i="12" s="1"/>
  <c r="J33" i="12" s="1"/>
  <c r="I19" i="12"/>
  <c r="I24" i="12" s="1"/>
  <c r="H25" i="12"/>
  <c r="K42" i="11"/>
  <c r="L41" i="11"/>
  <c r="M36" i="11" s="1"/>
  <c r="K28" i="11"/>
  <c r="K33" i="11" s="1"/>
  <c r="J34" i="11"/>
  <c r="K26" i="11"/>
  <c r="L25" i="11"/>
  <c r="M20" i="11" s="1"/>
  <c r="L17" i="11"/>
  <c r="K18" i="11"/>
  <c r="J83" i="4"/>
  <c r="J88" i="4" s="1"/>
  <c r="I89" i="4"/>
  <c r="J67" i="4"/>
  <c r="J72" i="4" s="1"/>
  <c r="I73" i="4"/>
  <c r="J59" i="4"/>
  <c r="J64" i="4" s="1"/>
  <c r="K59" i="4" s="1"/>
  <c r="I65" i="4"/>
  <c r="J43" i="4"/>
  <c r="J48" i="4" s="1"/>
  <c r="K43" i="4" s="1"/>
  <c r="I49" i="4"/>
  <c r="K35" i="4"/>
  <c r="K40" i="4" s="1"/>
  <c r="J41" i="4"/>
  <c r="J27" i="4"/>
  <c r="J32" i="4" s="1"/>
  <c r="I33" i="4"/>
  <c r="J19" i="4"/>
  <c r="J24" i="4" s="1"/>
  <c r="I25" i="4"/>
  <c r="J11" i="4"/>
  <c r="J16" i="4" s="1"/>
  <c r="K11" i="4" s="1"/>
  <c r="I17" i="4"/>
  <c r="K9" i="4"/>
  <c r="L3" i="4"/>
  <c r="L8" i="4" s="1"/>
  <c r="I57" i="4"/>
  <c r="I40" i="12"/>
  <c r="J11" i="12"/>
  <c r="I8" i="12"/>
  <c r="K9" i="11"/>
  <c r="J80" i="4"/>
  <c r="J56" i="4"/>
  <c r="K51" i="4" s="1"/>
  <c r="J19" i="12" l="1"/>
  <c r="J24" i="12" s="1"/>
  <c r="I25" i="12"/>
  <c r="L42" i="11"/>
  <c r="M41" i="11"/>
  <c r="N36" i="11" s="1"/>
  <c r="L28" i="11"/>
  <c r="L33" i="11" s="1"/>
  <c r="K34" i="11"/>
  <c r="L26" i="11"/>
  <c r="M25" i="11"/>
  <c r="N20" i="11" s="1"/>
  <c r="L18" i="11"/>
  <c r="M12" i="11"/>
  <c r="M17" i="11" s="1"/>
  <c r="L4" i="11"/>
  <c r="L9" i="11" s="1"/>
  <c r="K10" i="11"/>
  <c r="K83" i="4"/>
  <c r="K88" i="4" s="1"/>
  <c r="L83" i="4" s="1"/>
  <c r="J89" i="4"/>
  <c r="K75" i="4"/>
  <c r="K80" i="4" s="1"/>
  <c r="J81" i="4"/>
  <c r="K67" i="4"/>
  <c r="K72" i="4" s="1"/>
  <c r="J73" i="4"/>
  <c r="L35" i="4"/>
  <c r="L40" i="4" s="1"/>
  <c r="K41" i="4"/>
  <c r="K27" i="4"/>
  <c r="K32" i="4" s="1"/>
  <c r="J33" i="4"/>
  <c r="K19" i="4"/>
  <c r="K24" i="4" s="1"/>
  <c r="J25" i="4"/>
  <c r="L9" i="4"/>
  <c r="M3" i="4"/>
  <c r="M8" i="4" s="1"/>
  <c r="K64" i="4"/>
  <c r="L59" i="4" s="1"/>
  <c r="J65" i="4"/>
  <c r="J49" i="4"/>
  <c r="J17" i="4"/>
  <c r="K16" i="4"/>
  <c r="L11" i="4" s="1"/>
  <c r="K27" i="12"/>
  <c r="K32" i="12" s="1"/>
  <c r="K33" i="12" s="1"/>
  <c r="J3" i="12"/>
  <c r="J8" i="12" s="1"/>
  <c r="I9" i="12"/>
  <c r="J57" i="4"/>
  <c r="J35" i="12"/>
  <c r="J40" i="12" s="1"/>
  <c r="I41" i="12"/>
  <c r="J16" i="12"/>
  <c r="K56" i="4"/>
  <c r="L51" i="4" s="1"/>
  <c r="K48" i="4"/>
  <c r="L43" i="4" s="1"/>
  <c r="K19" i="12" l="1"/>
  <c r="K24" i="12" s="1"/>
  <c r="J25" i="12"/>
  <c r="M42" i="11"/>
  <c r="L34" i="11"/>
  <c r="M28" i="11"/>
  <c r="M33" i="11" s="1"/>
  <c r="M26" i="11"/>
  <c r="N25" i="11"/>
  <c r="P20" i="11" s="1"/>
  <c r="P25" i="11" s="1"/>
  <c r="P26" i="11" s="1"/>
  <c r="M18" i="11"/>
  <c r="N12" i="11"/>
  <c r="N17" i="11" s="1"/>
  <c r="N18" i="11" s="1"/>
  <c r="L10" i="11"/>
  <c r="M4" i="11"/>
  <c r="M9" i="11" s="1"/>
  <c r="L75" i="4"/>
  <c r="L80" i="4" s="1"/>
  <c r="M75" i="4" s="1"/>
  <c r="K81" i="4"/>
  <c r="L67" i="4"/>
  <c r="L72" i="4" s="1"/>
  <c r="M67" i="4" s="1"/>
  <c r="K73" i="4"/>
  <c r="L41" i="4"/>
  <c r="M35" i="4"/>
  <c r="M40" i="4" s="1"/>
  <c r="L27" i="4"/>
  <c r="L32" i="4" s="1"/>
  <c r="M27" i="4" s="1"/>
  <c r="K33" i="4"/>
  <c r="L19" i="4"/>
  <c r="L24" i="4" s="1"/>
  <c r="M19" i="4" s="1"/>
  <c r="K25" i="4"/>
  <c r="M9" i="4"/>
  <c r="N3" i="4"/>
  <c r="N8" i="4" s="1"/>
  <c r="L64" i="4"/>
  <c r="M59" i="4" s="1"/>
  <c r="K65" i="4"/>
  <c r="K49" i="4"/>
  <c r="K11" i="12"/>
  <c r="K16" i="12" s="1"/>
  <c r="J17" i="12"/>
  <c r="L27" i="12"/>
  <c r="L32" i="12" s="1"/>
  <c r="L33" i="12" s="1"/>
  <c r="K3" i="12"/>
  <c r="K8" i="12" s="1"/>
  <c r="J9" i="12"/>
  <c r="K57" i="4"/>
  <c r="L16" i="4"/>
  <c r="M11" i="4" s="1"/>
  <c r="K17" i="4"/>
  <c r="K35" i="12"/>
  <c r="K40" i="12" s="1"/>
  <c r="J41" i="12"/>
  <c r="L88" i="4"/>
  <c r="M83" i="4" s="1"/>
  <c r="K89" i="4"/>
  <c r="L56" i="4"/>
  <c r="M51" i="4" s="1"/>
  <c r="L48" i="4"/>
  <c r="M43" i="4" s="1"/>
  <c r="N41" i="11"/>
  <c r="N42" i="11" s="1"/>
  <c r="M34" i="11" l="1"/>
  <c r="N28" i="11"/>
  <c r="N33" i="11" s="1"/>
  <c r="N26" i="11"/>
  <c r="M10" i="11"/>
  <c r="N4" i="11"/>
  <c r="N9" i="11" s="1"/>
  <c r="N10" i="11" s="1"/>
  <c r="M41" i="4"/>
  <c r="N35" i="4"/>
  <c r="N40" i="4" s="1"/>
  <c r="N9" i="4"/>
  <c r="O3" i="4"/>
  <c r="O8" i="4" s="1"/>
  <c r="O9" i="4" s="1"/>
  <c r="M27" i="12"/>
  <c r="M32" i="12" s="1"/>
  <c r="M33" i="12" s="1"/>
  <c r="M16" i="4"/>
  <c r="N11" i="4" s="1"/>
  <c r="N16" i="4" s="1"/>
  <c r="L17" i="4"/>
  <c r="L25" i="4"/>
  <c r="L33" i="4"/>
  <c r="M48" i="4"/>
  <c r="N43" i="4" s="1"/>
  <c r="L49" i="4"/>
  <c r="L57" i="4"/>
  <c r="M64" i="4"/>
  <c r="N59" i="4" s="1"/>
  <c r="L65" i="4"/>
  <c r="L73" i="4"/>
  <c r="L81" i="4"/>
  <c r="M88" i="4"/>
  <c r="N83" i="4" s="1"/>
  <c r="L89" i="4"/>
  <c r="L3" i="12"/>
  <c r="L8" i="12" s="1"/>
  <c r="K9" i="12"/>
  <c r="L11" i="12"/>
  <c r="L16" i="12" s="1"/>
  <c r="K17" i="12"/>
  <c r="L19" i="12"/>
  <c r="L24" i="12" s="1"/>
  <c r="K25" i="12"/>
  <c r="L35" i="12"/>
  <c r="L40" i="12" s="1"/>
  <c r="K41" i="12"/>
  <c r="M80" i="4"/>
  <c r="N75" i="4" s="1"/>
  <c r="M72" i="4"/>
  <c r="N67" i="4" s="1"/>
  <c r="M56" i="4"/>
  <c r="N51" i="4" s="1"/>
  <c r="M32" i="4"/>
  <c r="N27" i="4" s="1"/>
  <c r="M24" i="4"/>
  <c r="N19" i="4" s="1"/>
  <c r="N24" i="4" s="1"/>
  <c r="N25" i="4" s="1"/>
  <c r="P36" i="11"/>
  <c r="Q20" i="11"/>
  <c r="Q25" i="11" s="1"/>
  <c r="Q26" i="11" s="1"/>
  <c r="P12" i="11"/>
  <c r="P17" i="11" s="1"/>
  <c r="P18" i="11" s="1"/>
  <c r="P28" i="11" l="1"/>
  <c r="P33" i="11" s="1"/>
  <c r="P34" i="11" s="1"/>
  <c r="P4" i="11"/>
  <c r="P9" i="11" s="1"/>
  <c r="P10" i="11" s="1"/>
  <c r="N41" i="4"/>
  <c r="O35" i="4"/>
  <c r="O40" i="4" s="1"/>
  <c r="O41" i="4" s="1"/>
  <c r="N27" i="12"/>
  <c r="N32" i="12" s="1"/>
  <c r="N33" i="12" s="1"/>
  <c r="O11" i="4"/>
  <c r="O16" i="4" s="1"/>
  <c r="O17" i="4" s="1"/>
  <c r="M17" i="4"/>
  <c r="M25" i="4"/>
  <c r="N48" i="4"/>
  <c r="O43" i="4" s="1"/>
  <c r="M49" i="4"/>
  <c r="N56" i="4"/>
  <c r="O51" i="4" s="1"/>
  <c r="M57" i="4"/>
  <c r="M73" i="4"/>
  <c r="M33" i="4"/>
  <c r="N64" i="4"/>
  <c r="O59" i="4" s="1"/>
  <c r="M65" i="4"/>
  <c r="M19" i="12"/>
  <c r="M24" i="12" s="1"/>
  <c r="L25" i="12"/>
  <c r="M3" i="12"/>
  <c r="M8" i="12" s="1"/>
  <c r="L9" i="12"/>
  <c r="M81" i="4"/>
  <c r="M11" i="12"/>
  <c r="M16" i="12" s="1"/>
  <c r="L17" i="12"/>
  <c r="M35" i="12"/>
  <c r="M40" i="12" s="1"/>
  <c r="L41" i="12"/>
  <c r="N88" i="4"/>
  <c r="O83" i="4" s="1"/>
  <c r="M89" i="4"/>
  <c r="P41" i="11"/>
  <c r="P42" i="11" s="1"/>
  <c r="N80" i="4"/>
  <c r="O75" i="4" s="1"/>
  <c r="N72" i="4"/>
  <c r="O67" i="4" s="1"/>
  <c r="N32" i="4"/>
  <c r="O27" i="4" s="1"/>
  <c r="O19" i="4"/>
  <c r="Q3" i="4"/>
  <c r="R20" i="11"/>
  <c r="R25" i="11" s="1"/>
  <c r="R26" i="11" s="1"/>
  <c r="Q12" i="11"/>
  <c r="Q17" i="11" s="1"/>
  <c r="Q18" i="11" s="1"/>
  <c r="Q8" i="4" l="1"/>
  <c r="Q28" i="11"/>
  <c r="Q33" i="11" s="1"/>
  <c r="Q34" i="11" s="1"/>
  <c r="Q35" i="4"/>
  <c r="Q40" i="4" s="1"/>
  <c r="Q41" i="4" s="1"/>
  <c r="Q36" i="11"/>
  <c r="Q41" i="11" s="1"/>
  <c r="Q42" i="11" s="1"/>
  <c r="Q4" i="11"/>
  <c r="Q9" i="11" s="1"/>
  <c r="Q10" i="11" s="1"/>
  <c r="P27" i="12"/>
  <c r="P32" i="12" s="1"/>
  <c r="P33" i="12" s="1"/>
  <c r="N17" i="4"/>
  <c r="N57" i="4"/>
  <c r="N73" i="4"/>
  <c r="N49" i="4"/>
  <c r="N33" i="4"/>
  <c r="O64" i="4"/>
  <c r="N65" i="4"/>
  <c r="N19" i="12"/>
  <c r="N24" i="12" s="1"/>
  <c r="M25" i="12"/>
  <c r="N3" i="12"/>
  <c r="N8" i="12" s="1"/>
  <c r="M9" i="12"/>
  <c r="N81" i="4"/>
  <c r="N11" i="12"/>
  <c r="N16" i="12" s="1"/>
  <c r="M17" i="12"/>
  <c r="N35" i="12"/>
  <c r="N40" i="12" s="1"/>
  <c r="M41" i="12"/>
  <c r="N89" i="4"/>
  <c r="O88" i="4"/>
  <c r="O80" i="4"/>
  <c r="O72" i="4"/>
  <c r="O56" i="4"/>
  <c r="O48" i="4"/>
  <c r="O32" i="4"/>
  <c r="O24" i="4"/>
  <c r="S20" i="11"/>
  <c r="S25" i="11" s="1"/>
  <c r="S26" i="11" s="1"/>
  <c r="R12" i="11"/>
  <c r="R17" i="11" s="1"/>
  <c r="R18" i="11" s="1"/>
  <c r="R3" i="4" l="1"/>
  <c r="R8" i="4" s="1"/>
  <c r="R9" i="4" s="1"/>
  <c r="Q9" i="4"/>
  <c r="R28" i="11"/>
  <c r="R33" i="11" s="1"/>
  <c r="R34" i="11" s="1"/>
  <c r="R4" i="11"/>
  <c r="R9" i="11" s="1"/>
  <c r="R10" i="11" s="1"/>
  <c r="Q27" i="12"/>
  <c r="Q32" i="12" s="1"/>
  <c r="Q33" i="12" s="1"/>
  <c r="Q16" i="4"/>
  <c r="Q19" i="4"/>
  <c r="Q24" i="4" s="1"/>
  <c r="O25" i="4"/>
  <c r="Q51" i="4"/>
  <c r="Q56" i="4" s="1"/>
  <c r="O57" i="4"/>
  <c r="Q67" i="4"/>
  <c r="Q72" i="4" s="1"/>
  <c r="O73" i="4"/>
  <c r="Q43" i="4"/>
  <c r="Q48" i="4" s="1"/>
  <c r="O49" i="4"/>
  <c r="Q27" i="4"/>
  <c r="Q32" i="4" s="1"/>
  <c r="O33" i="4"/>
  <c r="Q59" i="4"/>
  <c r="Q64" i="4" s="1"/>
  <c r="R59" i="4" s="1"/>
  <c r="O65" i="4"/>
  <c r="P19" i="12"/>
  <c r="P24" i="12" s="1"/>
  <c r="N25" i="12"/>
  <c r="P3" i="12"/>
  <c r="P8" i="12" s="1"/>
  <c r="N9" i="12"/>
  <c r="Q75" i="4"/>
  <c r="Q80" i="4" s="1"/>
  <c r="O81" i="4"/>
  <c r="P11" i="12"/>
  <c r="P16" i="12" s="1"/>
  <c r="N17" i="12"/>
  <c r="P35" i="12"/>
  <c r="P40" i="12" s="1"/>
  <c r="N41" i="12"/>
  <c r="Q83" i="4"/>
  <c r="Q88" i="4" s="1"/>
  <c r="O89" i="4"/>
  <c r="R35" i="4"/>
  <c r="R36" i="11"/>
  <c r="R41" i="11" s="1"/>
  <c r="R42" i="11" s="1"/>
  <c r="S12" i="11"/>
  <c r="S17" i="11" s="1"/>
  <c r="S18" i="11" s="1"/>
  <c r="T20" i="11"/>
  <c r="T25" i="11" s="1"/>
  <c r="T26" i="11" s="1"/>
  <c r="Q17" i="4" l="1"/>
  <c r="R11" i="4"/>
  <c r="S28" i="11"/>
  <c r="S33" i="11" s="1"/>
  <c r="S34" i="11" s="1"/>
  <c r="S4" i="11"/>
  <c r="S9" i="11" s="1"/>
  <c r="S10" i="11" s="1"/>
  <c r="S3" i="4"/>
  <c r="S8" i="4" s="1"/>
  <c r="S9" i="4" s="1"/>
  <c r="R27" i="12"/>
  <c r="R32" i="12" s="1"/>
  <c r="R33" i="12" s="1"/>
  <c r="R16" i="4"/>
  <c r="S11" i="4" s="1"/>
  <c r="R19" i="4"/>
  <c r="R24" i="4" s="1"/>
  <c r="Q25" i="4"/>
  <c r="R51" i="4"/>
  <c r="R56" i="4" s="1"/>
  <c r="Q57" i="4"/>
  <c r="R67" i="4"/>
  <c r="R72" i="4" s="1"/>
  <c r="Q73" i="4"/>
  <c r="R43" i="4"/>
  <c r="R48" i="4" s="1"/>
  <c r="Q49" i="4"/>
  <c r="R27" i="4"/>
  <c r="R32" i="4" s="1"/>
  <c r="Q33" i="4"/>
  <c r="R64" i="4"/>
  <c r="Q65" i="4"/>
  <c r="Q19" i="12"/>
  <c r="Q24" i="12" s="1"/>
  <c r="P25" i="12"/>
  <c r="Q3" i="12"/>
  <c r="Q8" i="12" s="1"/>
  <c r="P9" i="12"/>
  <c r="R75" i="4"/>
  <c r="R80" i="4" s="1"/>
  <c r="Q81" i="4"/>
  <c r="Q11" i="12"/>
  <c r="Q16" i="12" s="1"/>
  <c r="P17" i="12"/>
  <c r="Q35" i="12"/>
  <c r="Q40" i="12" s="1"/>
  <c r="P41" i="12"/>
  <c r="R83" i="4"/>
  <c r="R88" i="4" s="1"/>
  <c r="Q89" i="4"/>
  <c r="R40" i="4"/>
  <c r="S36" i="11"/>
  <c r="S41" i="11" s="1"/>
  <c r="S42" i="11" s="1"/>
  <c r="U20" i="11"/>
  <c r="U25" i="11" s="1"/>
  <c r="U26" i="11" s="1"/>
  <c r="T12" i="11"/>
  <c r="T17" i="11" s="1"/>
  <c r="T18" i="11" s="1"/>
  <c r="T3" i="4" l="1"/>
  <c r="T8" i="4" s="1"/>
  <c r="T9" i="4" s="1"/>
  <c r="T28" i="11"/>
  <c r="T33" i="11" s="1"/>
  <c r="T34" i="11" s="1"/>
  <c r="S27" i="12"/>
  <c r="S32" i="12" s="1"/>
  <c r="S33" i="12" s="1"/>
  <c r="S16" i="4"/>
  <c r="T11" i="4" s="1"/>
  <c r="R17" i="4"/>
  <c r="S19" i="4"/>
  <c r="S24" i="4" s="1"/>
  <c r="R25" i="4"/>
  <c r="S51" i="4"/>
  <c r="S56" i="4" s="1"/>
  <c r="R57" i="4"/>
  <c r="S67" i="4"/>
  <c r="S72" i="4" s="1"/>
  <c r="R73" i="4"/>
  <c r="S43" i="4"/>
  <c r="S48" i="4" s="1"/>
  <c r="R49" i="4"/>
  <c r="S27" i="4"/>
  <c r="S32" i="4" s="1"/>
  <c r="R33" i="4"/>
  <c r="S59" i="4"/>
  <c r="S64" i="4" s="1"/>
  <c r="R65" i="4"/>
  <c r="S35" i="4"/>
  <c r="S40" i="4" s="1"/>
  <c r="R41" i="4"/>
  <c r="R19" i="12"/>
  <c r="R24" i="12" s="1"/>
  <c r="Q25" i="12"/>
  <c r="R3" i="12"/>
  <c r="R8" i="12" s="1"/>
  <c r="Q9" i="12"/>
  <c r="S75" i="4"/>
  <c r="S80" i="4" s="1"/>
  <c r="R81" i="4"/>
  <c r="Q17" i="12"/>
  <c r="R11" i="12"/>
  <c r="R16" i="12" s="1"/>
  <c r="R35" i="12"/>
  <c r="R40" i="12" s="1"/>
  <c r="Q41" i="12"/>
  <c r="S83" i="4"/>
  <c r="S88" i="4" s="1"/>
  <c r="R89" i="4"/>
  <c r="T4" i="11"/>
  <c r="T36" i="11"/>
  <c r="T41" i="11" s="1"/>
  <c r="T42" i="11" s="1"/>
  <c r="U12" i="11"/>
  <c r="U17" i="11" s="1"/>
  <c r="U18" i="11" s="1"/>
  <c r="V20" i="11"/>
  <c r="V25" i="11" s="1"/>
  <c r="V26" i="11" s="1"/>
  <c r="U3" i="4" l="1"/>
  <c r="T16" i="4"/>
  <c r="U11" i="4" s="1"/>
  <c r="S17" i="4"/>
  <c r="T19" i="4"/>
  <c r="T24" i="4" s="1"/>
  <c r="S25" i="4"/>
  <c r="T51" i="4"/>
  <c r="T56" i="4" s="1"/>
  <c r="S57" i="4"/>
  <c r="T67" i="4"/>
  <c r="T72" i="4" s="1"/>
  <c r="S73" i="4"/>
  <c r="T43" i="4"/>
  <c r="T48" i="4" s="1"/>
  <c r="S49" i="4"/>
  <c r="T27" i="4"/>
  <c r="T32" i="4" s="1"/>
  <c r="S33" i="4"/>
  <c r="T59" i="4"/>
  <c r="T64" i="4" s="1"/>
  <c r="S65" i="4"/>
  <c r="T35" i="4"/>
  <c r="T40" i="4" s="1"/>
  <c r="S41" i="4"/>
  <c r="S19" i="12"/>
  <c r="S24" i="12" s="1"/>
  <c r="R25" i="12"/>
  <c r="S3" i="12"/>
  <c r="S8" i="12" s="1"/>
  <c r="R9" i="12"/>
  <c r="T75" i="4"/>
  <c r="T80" i="4" s="1"/>
  <c r="S81" i="4"/>
  <c r="R17" i="12"/>
  <c r="S11" i="12"/>
  <c r="S16" i="12" s="1"/>
  <c r="S35" i="12"/>
  <c r="S40" i="12" s="1"/>
  <c r="R41" i="12"/>
  <c r="T83" i="4"/>
  <c r="T88" i="4" s="1"/>
  <c r="S89" i="4"/>
  <c r="T27" i="12"/>
  <c r="T9" i="11"/>
  <c r="U28" i="11"/>
  <c r="U8" i="4"/>
  <c r="U9" i="4" s="1"/>
  <c r="U36" i="11"/>
  <c r="U41" i="11" s="1"/>
  <c r="U42" i="11" s="1"/>
  <c r="V12" i="11"/>
  <c r="V17" i="11" s="1"/>
  <c r="V18" i="11" s="1"/>
  <c r="W20" i="11"/>
  <c r="W25" i="11" s="1"/>
  <c r="W26" i="11" s="1"/>
  <c r="V3" i="4" l="1"/>
  <c r="V8" i="4" s="1"/>
  <c r="V9" i="4" s="1"/>
  <c r="U16" i="4"/>
  <c r="V11" i="4" s="1"/>
  <c r="T17" i="4"/>
  <c r="U19" i="4"/>
  <c r="U24" i="4" s="1"/>
  <c r="T25" i="4"/>
  <c r="U51" i="4"/>
  <c r="U56" i="4" s="1"/>
  <c r="T57" i="4"/>
  <c r="U67" i="4"/>
  <c r="U72" i="4" s="1"/>
  <c r="T73" i="4"/>
  <c r="U43" i="4"/>
  <c r="U48" i="4" s="1"/>
  <c r="T49" i="4"/>
  <c r="U4" i="11"/>
  <c r="U9" i="11" s="1"/>
  <c r="T10" i="11"/>
  <c r="U27" i="4"/>
  <c r="U32" i="4" s="1"/>
  <c r="T33" i="4"/>
  <c r="U59" i="4"/>
  <c r="U64" i="4" s="1"/>
  <c r="T65" i="4"/>
  <c r="U35" i="4"/>
  <c r="U40" i="4" s="1"/>
  <c r="T41" i="4"/>
  <c r="T19" i="12"/>
  <c r="T24" i="12" s="1"/>
  <c r="S25" i="12"/>
  <c r="T3" i="12"/>
  <c r="T8" i="12" s="1"/>
  <c r="S9" i="12"/>
  <c r="U75" i="4"/>
  <c r="U80" i="4" s="1"/>
  <c r="T81" i="4"/>
  <c r="S17" i="12"/>
  <c r="T11" i="12"/>
  <c r="T16" i="12" s="1"/>
  <c r="T35" i="12"/>
  <c r="T40" i="12" s="1"/>
  <c r="S41" i="12"/>
  <c r="U83" i="4"/>
  <c r="U88" i="4" s="1"/>
  <c r="T89" i="4"/>
  <c r="T32" i="12"/>
  <c r="U33" i="11"/>
  <c r="V36" i="11"/>
  <c r="V41" i="11" s="1"/>
  <c r="V42" i="11" s="1"/>
  <c r="W12" i="11"/>
  <c r="W17" i="11" s="1"/>
  <c r="W18" i="11" s="1"/>
  <c r="X20" i="11"/>
  <c r="X25" i="11" s="1"/>
  <c r="X26" i="11" s="1"/>
  <c r="W3" i="4" l="1"/>
  <c r="W8" i="4" s="1"/>
  <c r="V16" i="4"/>
  <c r="W11" i="4" s="1"/>
  <c r="U17" i="4"/>
  <c r="V19" i="4"/>
  <c r="V24" i="4" s="1"/>
  <c r="U25" i="4"/>
  <c r="V51" i="4"/>
  <c r="V56" i="4" s="1"/>
  <c r="U57" i="4"/>
  <c r="V67" i="4"/>
  <c r="V72" i="4" s="1"/>
  <c r="U73" i="4"/>
  <c r="V43" i="4"/>
  <c r="V48" i="4" s="1"/>
  <c r="U49" i="4"/>
  <c r="V4" i="11"/>
  <c r="V9" i="11" s="1"/>
  <c r="U10" i="11"/>
  <c r="V27" i="4"/>
  <c r="V32" i="4" s="1"/>
  <c r="U33" i="4"/>
  <c r="V59" i="4"/>
  <c r="V64" i="4" s="1"/>
  <c r="U65" i="4"/>
  <c r="V35" i="4"/>
  <c r="V40" i="4" s="1"/>
  <c r="U41" i="4"/>
  <c r="U19" i="12"/>
  <c r="U24" i="12" s="1"/>
  <c r="T25" i="12"/>
  <c r="U3" i="12"/>
  <c r="U8" i="12" s="1"/>
  <c r="T9" i="12"/>
  <c r="V75" i="4"/>
  <c r="V80" i="4" s="1"/>
  <c r="U81" i="4"/>
  <c r="U27" i="12"/>
  <c r="U32" i="12" s="1"/>
  <c r="T33" i="12"/>
  <c r="T17" i="12"/>
  <c r="U11" i="12"/>
  <c r="U16" i="12" s="1"/>
  <c r="U17" i="12" s="1"/>
  <c r="V28" i="11"/>
  <c r="V33" i="11" s="1"/>
  <c r="U34" i="11"/>
  <c r="U35" i="12"/>
  <c r="U40" i="12" s="1"/>
  <c r="T41" i="12"/>
  <c r="V83" i="4"/>
  <c r="V88" i="4" s="1"/>
  <c r="U89" i="4"/>
  <c r="W36" i="11"/>
  <c r="W41" i="11" s="1"/>
  <c r="W42" i="11" s="1"/>
  <c r="X12" i="11"/>
  <c r="X17" i="11" s="1"/>
  <c r="X18" i="11" s="1"/>
  <c r="Y20" i="11"/>
  <c r="Y25" i="11" s="1"/>
  <c r="Y26" i="11" s="1"/>
  <c r="V17" i="4" l="1"/>
  <c r="V11" i="12"/>
  <c r="V16" i="12" s="1"/>
  <c r="X3" i="4"/>
  <c r="X8" i="4" s="1"/>
  <c r="X9" i="4" s="1"/>
  <c r="W9" i="4"/>
  <c r="W16" i="4"/>
  <c r="X11" i="4" s="1"/>
  <c r="W19" i="4"/>
  <c r="W24" i="4" s="1"/>
  <c r="V25" i="4"/>
  <c r="W51" i="4"/>
  <c r="W56" i="4" s="1"/>
  <c r="V57" i="4"/>
  <c r="W67" i="4"/>
  <c r="W72" i="4" s="1"/>
  <c r="V73" i="4"/>
  <c r="W43" i="4"/>
  <c r="W48" i="4" s="1"/>
  <c r="V49" i="4"/>
  <c r="W4" i="11"/>
  <c r="W9" i="11" s="1"/>
  <c r="V10" i="11"/>
  <c r="W27" i="4"/>
  <c r="W32" i="4" s="1"/>
  <c r="V33" i="4"/>
  <c r="W59" i="4"/>
  <c r="W64" i="4" s="1"/>
  <c r="V65" i="4"/>
  <c r="W35" i="4"/>
  <c r="W40" i="4" s="1"/>
  <c r="V41" i="4"/>
  <c r="V19" i="12"/>
  <c r="V24" i="12" s="1"/>
  <c r="U25" i="12"/>
  <c r="V3" i="12"/>
  <c r="V8" i="12" s="1"/>
  <c r="U9" i="12"/>
  <c r="W75" i="4"/>
  <c r="W80" i="4" s="1"/>
  <c r="V81" i="4"/>
  <c r="V27" i="12"/>
  <c r="V32" i="12" s="1"/>
  <c r="U33" i="12"/>
  <c r="W28" i="11"/>
  <c r="W33" i="11" s="1"/>
  <c r="V34" i="11"/>
  <c r="V35" i="12"/>
  <c r="V40" i="12" s="1"/>
  <c r="U41" i="12"/>
  <c r="W83" i="4"/>
  <c r="W88" i="4" s="1"/>
  <c r="V89" i="4"/>
  <c r="X36" i="11"/>
  <c r="X41" i="11" s="1"/>
  <c r="X42" i="11" s="1"/>
  <c r="Z20" i="11"/>
  <c r="Z25" i="11" s="1"/>
  <c r="Z26" i="11" s="1"/>
  <c r="Y12" i="11"/>
  <c r="Y17" i="11" s="1"/>
  <c r="Y18" i="11" s="1"/>
  <c r="Y3" i="4" l="1"/>
  <c r="Y8" i="4" s="1"/>
  <c r="Y9" i="4" s="1"/>
  <c r="X16" i="4"/>
  <c r="Y11" i="4" s="1"/>
  <c r="W17" i="4"/>
  <c r="X19" i="4"/>
  <c r="X24" i="4" s="1"/>
  <c r="W25" i="4"/>
  <c r="X51" i="4"/>
  <c r="X56" i="4" s="1"/>
  <c r="W57" i="4"/>
  <c r="X67" i="4"/>
  <c r="X72" i="4" s="1"/>
  <c r="W73" i="4"/>
  <c r="X43" i="4"/>
  <c r="X48" i="4" s="1"/>
  <c r="W49" i="4"/>
  <c r="X4" i="11"/>
  <c r="X9" i="11" s="1"/>
  <c r="W10" i="11"/>
  <c r="X27" i="4"/>
  <c r="X32" i="4" s="1"/>
  <c r="W33" i="4"/>
  <c r="X59" i="4"/>
  <c r="X64" i="4" s="1"/>
  <c r="W65" i="4"/>
  <c r="X35" i="4"/>
  <c r="X40" i="4" s="1"/>
  <c r="W41" i="4"/>
  <c r="W19" i="12"/>
  <c r="W24" i="12" s="1"/>
  <c r="V25" i="12"/>
  <c r="W3" i="12"/>
  <c r="W8" i="12" s="1"/>
  <c r="V9" i="12"/>
  <c r="X75" i="4"/>
  <c r="X80" i="4" s="1"/>
  <c r="W81" i="4"/>
  <c r="W27" i="12"/>
  <c r="W32" i="12" s="1"/>
  <c r="V33" i="12"/>
  <c r="W11" i="12"/>
  <c r="W16" i="12" s="1"/>
  <c r="V17" i="12"/>
  <c r="X28" i="11"/>
  <c r="X33" i="11" s="1"/>
  <c r="W34" i="11"/>
  <c r="W35" i="12"/>
  <c r="W40" i="12" s="1"/>
  <c r="V41" i="12"/>
  <c r="X83" i="4"/>
  <c r="X88" i="4" s="1"/>
  <c r="W89" i="4"/>
  <c r="Y36" i="11"/>
  <c r="Y41" i="11" s="1"/>
  <c r="Y42" i="11" s="1"/>
  <c r="AA20" i="11"/>
  <c r="AA25" i="11" s="1"/>
  <c r="Z12" i="11"/>
  <c r="Z17" i="11" s="1"/>
  <c r="Z18" i="11" s="1"/>
  <c r="AA26" i="11" l="1"/>
  <c r="AC20" i="11"/>
  <c r="AC25" i="11" s="1"/>
  <c r="Y16" i="4"/>
  <c r="X17" i="4"/>
  <c r="Y19" i="4"/>
  <c r="Y24" i="4" s="1"/>
  <c r="X25" i="4"/>
  <c r="Y51" i="4"/>
  <c r="Y56" i="4" s="1"/>
  <c r="X57" i="4"/>
  <c r="Y67" i="4"/>
  <c r="Y72" i="4" s="1"/>
  <c r="X73" i="4"/>
  <c r="Y43" i="4"/>
  <c r="Y48" i="4" s="1"/>
  <c r="X49" i="4"/>
  <c r="Y4" i="11"/>
  <c r="Y9" i="11" s="1"/>
  <c r="X10" i="11"/>
  <c r="Y27" i="4"/>
  <c r="Y32" i="4" s="1"/>
  <c r="X33" i="4"/>
  <c r="Y59" i="4"/>
  <c r="Y64" i="4" s="1"/>
  <c r="X65" i="4"/>
  <c r="Y35" i="4"/>
  <c r="Y40" i="4" s="1"/>
  <c r="X41" i="4"/>
  <c r="X19" i="12"/>
  <c r="X24" i="12" s="1"/>
  <c r="W25" i="12"/>
  <c r="X3" i="12"/>
  <c r="X8" i="12" s="1"/>
  <c r="W9" i="12"/>
  <c r="Y75" i="4"/>
  <c r="Y80" i="4" s="1"/>
  <c r="X81" i="4"/>
  <c r="X27" i="12"/>
  <c r="X32" i="12" s="1"/>
  <c r="W33" i="12"/>
  <c r="X11" i="12"/>
  <c r="X16" i="12" s="1"/>
  <c r="W17" i="12"/>
  <c r="Y28" i="11"/>
  <c r="Y33" i="11" s="1"/>
  <c r="X34" i="11"/>
  <c r="X35" i="12"/>
  <c r="X40" i="12" s="1"/>
  <c r="W41" i="12"/>
  <c r="Y83" i="4"/>
  <c r="Y88" i="4" s="1"/>
  <c r="X89" i="4"/>
  <c r="Z3" i="4"/>
  <c r="Z36" i="11"/>
  <c r="Z41" i="11" s="1"/>
  <c r="Z42" i="11" s="1"/>
  <c r="AA12" i="11"/>
  <c r="AA17" i="11" s="1"/>
  <c r="AA18" i="11" l="1"/>
  <c r="AC12" i="11"/>
  <c r="AC17" i="11" s="1"/>
  <c r="AC26" i="11"/>
  <c r="AD20" i="11"/>
  <c r="AD25" i="11" s="1"/>
  <c r="Z11" i="4"/>
  <c r="Z16" i="4" s="1"/>
  <c r="Y17" i="4"/>
  <c r="Z19" i="4"/>
  <c r="Z24" i="4" s="1"/>
  <c r="Y25" i="4"/>
  <c r="Z51" i="4"/>
  <c r="Z56" i="4" s="1"/>
  <c r="Y57" i="4"/>
  <c r="Z67" i="4"/>
  <c r="Z72" i="4" s="1"/>
  <c r="Y73" i="4"/>
  <c r="Z43" i="4"/>
  <c r="Z48" i="4" s="1"/>
  <c r="Y49" i="4"/>
  <c r="Z4" i="11"/>
  <c r="Z9" i="11" s="1"/>
  <c r="Y10" i="11"/>
  <c r="Z27" i="4"/>
  <c r="Z32" i="4" s="1"/>
  <c r="Y33" i="4"/>
  <c r="Z59" i="4"/>
  <c r="Z64" i="4" s="1"/>
  <c r="Y65" i="4"/>
  <c r="Z35" i="4"/>
  <c r="Z40" i="4" s="1"/>
  <c r="Y41" i="4"/>
  <c r="Y19" i="12"/>
  <c r="Y24" i="12" s="1"/>
  <c r="X25" i="12"/>
  <c r="Y3" i="12"/>
  <c r="Y8" i="12" s="1"/>
  <c r="X9" i="12"/>
  <c r="Z75" i="4"/>
  <c r="Z80" i="4" s="1"/>
  <c r="Y81" i="4"/>
  <c r="Y27" i="12"/>
  <c r="Y32" i="12" s="1"/>
  <c r="X33" i="12"/>
  <c r="Y11" i="12"/>
  <c r="Y16" i="12" s="1"/>
  <c r="X17" i="12"/>
  <c r="Z28" i="11"/>
  <c r="Z33" i="11" s="1"/>
  <c r="Y34" i="11"/>
  <c r="Y35" i="12"/>
  <c r="Y40" i="12" s="1"/>
  <c r="X41" i="12"/>
  <c r="Z83" i="4"/>
  <c r="Z88" i="4" s="1"/>
  <c r="Y89" i="4"/>
  <c r="Z8" i="4"/>
  <c r="AA36" i="11"/>
  <c r="AA41" i="11" s="1"/>
  <c r="AD26" i="11" l="1"/>
  <c r="AE20" i="11"/>
  <c r="AE25" i="11" s="1"/>
  <c r="AC18" i="11"/>
  <c r="AD12" i="11"/>
  <c r="AD17" i="11" s="1"/>
  <c r="AA42" i="11"/>
  <c r="AC36" i="11"/>
  <c r="AC41" i="11" s="1"/>
  <c r="AA3" i="4"/>
  <c r="AA8" i="4" s="1"/>
  <c r="Z9" i="4"/>
  <c r="AA11" i="4"/>
  <c r="AA16" i="4" s="1"/>
  <c r="Z17" i="4"/>
  <c r="AA19" i="4"/>
  <c r="AA24" i="4" s="1"/>
  <c r="Z25" i="4"/>
  <c r="AA51" i="4"/>
  <c r="AA56" i="4" s="1"/>
  <c r="Z57" i="4"/>
  <c r="AA67" i="4"/>
  <c r="AA72" i="4" s="1"/>
  <c r="Z73" i="4"/>
  <c r="AA43" i="4"/>
  <c r="AA48" i="4" s="1"/>
  <c r="Z49" i="4"/>
  <c r="AA4" i="11"/>
  <c r="AA9" i="11" s="1"/>
  <c r="Z10" i="11"/>
  <c r="AA27" i="4"/>
  <c r="AA32" i="4" s="1"/>
  <c r="Z33" i="4"/>
  <c r="AA59" i="4"/>
  <c r="AA64" i="4" s="1"/>
  <c r="Z65" i="4"/>
  <c r="AA35" i="4"/>
  <c r="AA40" i="4" s="1"/>
  <c r="Z41" i="4"/>
  <c r="Z19" i="12"/>
  <c r="Z24" i="12" s="1"/>
  <c r="Y25" i="12"/>
  <c r="Z3" i="12"/>
  <c r="Z8" i="12" s="1"/>
  <c r="Y9" i="12"/>
  <c r="AA75" i="4"/>
  <c r="AA80" i="4" s="1"/>
  <c r="Z81" i="4"/>
  <c r="Z27" i="12"/>
  <c r="Z32" i="12" s="1"/>
  <c r="Y33" i="12"/>
  <c r="Z11" i="12"/>
  <c r="Z16" i="12" s="1"/>
  <c r="Y17" i="12"/>
  <c r="AA28" i="11"/>
  <c r="AA33" i="11" s="1"/>
  <c r="Z34" i="11"/>
  <c r="Z35" i="12"/>
  <c r="Z40" i="12" s="1"/>
  <c r="Y41" i="12"/>
  <c r="AA83" i="4"/>
  <c r="AA88" i="4" s="1"/>
  <c r="Z89" i="4"/>
  <c r="AE12" i="11" l="1"/>
  <c r="AE17" i="11" s="1"/>
  <c r="AD18" i="11"/>
  <c r="AA34" i="11"/>
  <c r="AC28" i="11"/>
  <c r="AC33" i="11" s="1"/>
  <c r="AA10" i="11"/>
  <c r="AC4" i="11"/>
  <c r="AC9" i="11" s="1"/>
  <c r="AE26" i="11"/>
  <c r="AF20" i="11"/>
  <c r="AF25" i="11" s="1"/>
  <c r="AC42" i="11"/>
  <c r="AD36" i="11"/>
  <c r="AD41" i="11" s="1"/>
  <c r="AB3" i="4"/>
  <c r="AB8" i="4" s="1"/>
  <c r="AB9" i="4" s="1"/>
  <c r="AA9" i="4"/>
  <c r="AB11" i="4"/>
  <c r="AB16" i="4" s="1"/>
  <c r="AB17" i="4" s="1"/>
  <c r="AA17" i="4"/>
  <c r="AB19" i="4"/>
  <c r="AB24" i="4" s="1"/>
  <c r="AB25" i="4" s="1"/>
  <c r="AA25" i="4"/>
  <c r="AB51" i="4"/>
  <c r="AB56" i="4" s="1"/>
  <c r="AA57" i="4"/>
  <c r="AB67" i="4"/>
  <c r="AB72" i="4" s="1"/>
  <c r="AA73" i="4"/>
  <c r="AB43" i="4"/>
  <c r="AB48" i="4" s="1"/>
  <c r="AA49" i="4"/>
  <c r="AB27" i="4"/>
  <c r="AB32" i="4" s="1"/>
  <c r="AA33" i="4"/>
  <c r="AB59" i="4"/>
  <c r="AB64" i="4" s="1"/>
  <c r="AA65" i="4"/>
  <c r="AB35" i="4"/>
  <c r="AB40" i="4" s="1"/>
  <c r="AA41" i="4"/>
  <c r="AA19" i="12"/>
  <c r="AA24" i="12" s="1"/>
  <c r="Z25" i="12"/>
  <c r="AA3" i="12"/>
  <c r="AA8" i="12" s="1"/>
  <c r="Z9" i="12"/>
  <c r="AB75" i="4"/>
  <c r="AB80" i="4" s="1"/>
  <c r="AA81" i="4"/>
  <c r="AA27" i="12"/>
  <c r="AA32" i="12" s="1"/>
  <c r="Z33" i="12"/>
  <c r="AA11" i="12"/>
  <c r="AA16" i="12" s="1"/>
  <c r="AA17" i="12" s="1"/>
  <c r="Z17" i="12"/>
  <c r="AA35" i="12"/>
  <c r="AA40" i="12" s="1"/>
  <c r="Z41" i="12"/>
  <c r="AB83" i="4"/>
  <c r="AB88" i="4" s="1"/>
  <c r="AA89" i="4"/>
  <c r="AB89" i="4" l="1"/>
  <c r="AD83" i="4"/>
  <c r="AD88" i="4" s="1"/>
  <c r="AB81" i="4"/>
  <c r="AD75" i="4"/>
  <c r="AD80" i="4" s="1"/>
  <c r="AB65" i="4"/>
  <c r="AD59" i="4"/>
  <c r="AD64" i="4" s="1"/>
  <c r="AB73" i="4"/>
  <c r="AD67" i="4"/>
  <c r="AD72" i="4" s="1"/>
  <c r="AA9" i="12"/>
  <c r="AC3" i="12"/>
  <c r="AC8" i="12" s="1"/>
  <c r="AC10" i="11"/>
  <c r="AD4" i="11"/>
  <c r="AD9" i="11" s="1"/>
  <c r="AA41" i="12"/>
  <c r="AC35" i="12"/>
  <c r="AC40" i="12" s="1"/>
  <c r="AC34" i="11"/>
  <c r="AD28" i="11"/>
  <c r="AD33" i="11" s="1"/>
  <c r="AF26" i="11"/>
  <c r="AG20" i="11"/>
  <c r="AG25" i="11" s="1"/>
  <c r="AA25" i="12"/>
  <c r="AC19" i="12"/>
  <c r="AC24" i="12" s="1"/>
  <c r="AB49" i="4"/>
  <c r="AD43" i="4"/>
  <c r="AD48" i="4" s="1"/>
  <c r="AA33" i="12"/>
  <c r="AC27" i="12"/>
  <c r="AC32" i="12" s="1"/>
  <c r="AB41" i="4"/>
  <c r="AD35" i="4"/>
  <c r="AD40" i="4" s="1"/>
  <c r="AD42" i="11"/>
  <c r="AE36" i="11"/>
  <c r="AE41" i="11" s="1"/>
  <c r="AB33" i="4"/>
  <c r="AD27" i="4"/>
  <c r="AD32" i="4" s="1"/>
  <c r="AC11" i="12"/>
  <c r="AC16" i="12" s="1"/>
  <c r="AB57" i="4"/>
  <c r="AD51" i="4"/>
  <c r="AD56" i="4" s="1"/>
  <c r="AE18" i="11"/>
  <c r="AF12" i="11"/>
  <c r="AF17" i="11" s="1"/>
  <c r="AC16" i="4"/>
  <c r="AD11" i="4" s="1"/>
  <c r="AD16" i="4" s="1"/>
  <c r="AD65" i="4" l="1"/>
  <c r="AE59" i="4"/>
  <c r="AE64" i="4" s="1"/>
  <c r="AD81" i="4"/>
  <c r="AE75" i="4"/>
  <c r="AE80" i="4" s="1"/>
  <c r="AD89" i="4"/>
  <c r="AE83" i="4"/>
  <c r="AE88" i="4" s="1"/>
  <c r="AD73" i="4"/>
  <c r="AE67" i="4"/>
  <c r="AE72" i="4" s="1"/>
  <c r="AC41" i="12"/>
  <c r="AD35" i="12"/>
  <c r="AD40" i="12" s="1"/>
  <c r="AD17" i="4"/>
  <c r="AE11" i="4"/>
  <c r="AE16" i="4" s="1"/>
  <c r="AC33" i="12"/>
  <c r="AD27" i="12"/>
  <c r="AD32" i="12" s="1"/>
  <c r="AD49" i="4"/>
  <c r="AE43" i="4"/>
  <c r="AE48" i="4" s="1"/>
  <c r="AF18" i="11"/>
  <c r="AG12" i="11"/>
  <c r="AG17" i="11" s="1"/>
  <c r="AE42" i="11"/>
  <c r="AF36" i="11"/>
  <c r="AF41" i="11" s="1"/>
  <c r="AD19" i="12"/>
  <c r="AD24" i="12" s="1"/>
  <c r="AC25" i="12"/>
  <c r="AD10" i="11"/>
  <c r="AE4" i="11"/>
  <c r="AE9" i="11" s="1"/>
  <c r="AD34" i="11"/>
  <c r="AE28" i="11"/>
  <c r="AE33" i="11" s="1"/>
  <c r="AD57" i="4"/>
  <c r="AE51" i="4"/>
  <c r="AE56" i="4" s="1"/>
  <c r="AG26" i="11"/>
  <c r="AH20" i="11"/>
  <c r="AH25" i="11" s="1"/>
  <c r="AD3" i="12"/>
  <c r="AD8" i="12" s="1"/>
  <c r="AC9" i="12"/>
  <c r="AC17" i="12"/>
  <c r="AD11" i="12"/>
  <c r="AD16" i="12" s="1"/>
  <c r="AD33" i="4"/>
  <c r="AE27" i="4"/>
  <c r="AE32" i="4" s="1"/>
  <c r="AD41" i="4"/>
  <c r="AE35" i="4"/>
  <c r="AE40" i="4" s="1"/>
  <c r="AE89" i="4" l="1"/>
  <c r="AF83" i="4"/>
  <c r="AF88" i="4" s="1"/>
  <c r="AE81" i="4"/>
  <c r="AF75" i="4"/>
  <c r="AF80" i="4" s="1"/>
  <c r="AE65" i="4"/>
  <c r="AF59" i="4"/>
  <c r="AF64" i="4" s="1"/>
  <c r="AE73" i="4"/>
  <c r="AF67" i="4"/>
  <c r="AF72" i="4" s="1"/>
  <c r="AE41" i="4"/>
  <c r="AF35" i="4"/>
  <c r="AF40" i="4" s="1"/>
  <c r="AE27" i="12"/>
  <c r="AE32" i="12" s="1"/>
  <c r="AD33" i="12"/>
  <c r="AE57" i="4"/>
  <c r="AF51" i="4"/>
  <c r="AF56" i="4" s="1"/>
  <c r="AF42" i="11"/>
  <c r="AG36" i="11"/>
  <c r="AG41" i="11" s="1"/>
  <c r="AE19" i="12"/>
  <c r="AE24" i="12" s="1"/>
  <c r="AD25" i="12"/>
  <c r="AF27" i="4"/>
  <c r="AF32" i="4" s="1"/>
  <c r="AE33" i="4"/>
  <c r="AF11" i="4"/>
  <c r="AF16" i="4" s="1"/>
  <c r="AE17" i="4"/>
  <c r="AD17" i="12"/>
  <c r="AE11" i="12"/>
  <c r="AE16" i="12" s="1"/>
  <c r="AH12" i="11"/>
  <c r="AH17" i="11" s="1"/>
  <c r="AG18" i="11"/>
  <c r="AD41" i="12"/>
  <c r="AE35" i="12"/>
  <c r="AE40" i="12" s="1"/>
  <c r="AE3" i="12"/>
  <c r="AE8" i="12" s="1"/>
  <c r="AD9" i="12"/>
  <c r="AH26" i="11"/>
  <c r="AI20" i="11"/>
  <c r="AI25" i="11" s="1"/>
  <c r="AE34" i="11"/>
  <c r="AF28" i="11"/>
  <c r="AF33" i="11" s="1"/>
  <c r="AE10" i="11"/>
  <c r="AF4" i="11"/>
  <c r="AF9" i="11" s="1"/>
  <c r="AE49" i="4"/>
  <c r="AF43" i="4"/>
  <c r="AF48" i="4" s="1"/>
  <c r="AF65" i="4" l="1"/>
  <c r="AG59" i="4"/>
  <c r="AG64" i="4" s="1"/>
  <c r="AF81" i="4"/>
  <c r="AG75" i="4"/>
  <c r="AG80" i="4" s="1"/>
  <c r="AF89" i="4"/>
  <c r="AG83" i="4"/>
  <c r="AG88" i="4" s="1"/>
  <c r="AF73" i="4"/>
  <c r="AG67" i="4"/>
  <c r="AG72" i="4" s="1"/>
  <c r="AG42" i="11"/>
  <c r="AH36" i="11"/>
  <c r="AH41" i="11" s="1"/>
  <c r="AE17" i="12"/>
  <c r="AF11" i="12"/>
  <c r="AF16" i="12" s="1"/>
  <c r="AE9" i="12"/>
  <c r="AF3" i="12"/>
  <c r="AF8" i="12" s="1"/>
  <c r="AG43" i="4"/>
  <c r="AG48" i="4" s="1"/>
  <c r="AF49" i="4"/>
  <c r="AF10" i="11"/>
  <c r="AG4" i="11"/>
  <c r="AG9" i="11" s="1"/>
  <c r="AF33" i="4"/>
  <c r="AG27" i="4"/>
  <c r="AG32" i="4" s="1"/>
  <c r="AF27" i="12"/>
  <c r="AF32" i="12" s="1"/>
  <c r="AE33" i="12"/>
  <c r="AI26" i="11"/>
  <c r="AJ20" i="11"/>
  <c r="AJ25" i="11" s="1"/>
  <c r="AF57" i="4"/>
  <c r="AG51" i="4"/>
  <c r="AG56" i="4" s="1"/>
  <c r="AG11" i="4"/>
  <c r="AG16" i="4" s="1"/>
  <c r="AF17" i="4"/>
  <c r="AE41" i="12"/>
  <c r="AF35" i="12"/>
  <c r="AF40" i="12" s="1"/>
  <c r="AF34" i="11"/>
  <c r="AG28" i="11"/>
  <c r="AG33" i="11" s="1"/>
  <c r="AF41" i="4"/>
  <c r="AG35" i="4"/>
  <c r="AG40" i="4" s="1"/>
  <c r="AI12" i="11"/>
  <c r="AI17" i="11" s="1"/>
  <c r="AH18" i="11"/>
  <c r="AE25" i="12"/>
  <c r="AF19" i="12"/>
  <c r="AF24" i="12" s="1"/>
  <c r="AG89" i="4" l="1"/>
  <c r="AH83" i="4"/>
  <c r="AH88" i="4" s="1"/>
  <c r="AG81" i="4"/>
  <c r="AH75" i="4"/>
  <c r="AH80" i="4" s="1"/>
  <c r="AG65" i="4"/>
  <c r="AH59" i="4"/>
  <c r="AH64" i="4" s="1"/>
  <c r="AG73" i="4"/>
  <c r="AH67" i="4"/>
  <c r="AH72" i="4" s="1"/>
  <c r="AF41" i="12"/>
  <c r="AG35" i="12"/>
  <c r="AG40" i="12" s="1"/>
  <c r="AF33" i="12"/>
  <c r="AG27" i="12"/>
  <c r="AG32" i="12" s="1"/>
  <c r="AG33" i="4"/>
  <c r="AH27" i="4"/>
  <c r="AH32" i="4" s="1"/>
  <c r="AF17" i="12"/>
  <c r="AG11" i="12"/>
  <c r="AG16" i="12" s="1"/>
  <c r="AF25" i="12"/>
  <c r="AG19" i="12"/>
  <c r="AG24" i="12" s="1"/>
  <c r="AG49" i="4"/>
  <c r="AH43" i="4"/>
  <c r="AH48" i="4" s="1"/>
  <c r="AG41" i="4"/>
  <c r="AH35" i="4"/>
  <c r="AH40" i="4" s="1"/>
  <c r="AH11" i="4"/>
  <c r="AH16" i="4" s="1"/>
  <c r="AG17" i="4"/>
  <c r="AK20" i="11"/>
  <c r="AK25" i="11" s="1"/>
  <c r="AJ26" i="11"/>
  <c r="AI18" i="11"/>
  <c r="AJ12" i="11"/>
  <c r="AJ17" i="11" s="1"/>
  <c r="AG57" i="4"/>
  <c r="AH51" i="4"/>
  <c r="AH56" i="4" s="1"/>
  <c r="AG10" i="11"/>
  <c r="AH4" i="11"/>
  <c r="AH9" i="11" s="1"/>
  <c r="AH42" i="11"/>
  <c r="AI36" i="11"/>
  <c r="AI41" i="11" s="1"/>
  <c r="AF9" i="12"/>
  <c r="AG3" i="12"/>
  <c r="AG8" i="12" s="1"/>
  <c r="AG34" i="11"/>
  <c r="AH28" i="11"/>
  <c r="AH33" i="11" s="1"/>
  <c r="AH65" i="4" l="1"/>
  <c r="AI59" i="4"/>
  <c r="AI64" i="4" s="1"/>
  <c r="AH81" i="4"/>
  <c r="AI75" i="4"/>
  <c r="AI80" i="4" s="1"/>
  <c r="AH89" i="4"/>
  <c r="AI83" i="4"/>
  <c r="AI88" i="4" s="1"/>
  <c r="AH73" i="4"/>
  <c r="AI67" i="4"/>
  <c r="AI72" i="4" s="1"/>
  <c r="AI11" i="4"/>
  <c r="AI16" i="4" s="1"/>
  <c r="AH17" i="4"/>
  <c r="AG9" i="12"/>
  <c r="AH3" i="12"/>
  <c r="AH8" i="12" s="1"/>
  <c r="AG33" i="12"/>
  <c r="AH27" i="12"/>
  <c r="AH32" i="12" s="1"/>
  <c r="AG17" i="12"/>
  <c r="AH11" i="12"/>
  <c r="AH16" i="12" s="1"/>
  <c r="AH34" i="11"/>
  <c r="AI28" i="11"/>
  <c r="AI33" i="11" s="1"/>
  <c r="AH57" i="4"/>
  <c r="AI51" i="4"/>
  <c r="AI56" i="4" s="1"/>
  <c r="AI27" i="4"/>
  <c r="AI32" i="4" s="1"/>
  <c r="AH33" i="4"/>
  <c r="AK12" i="11"/>
  <c r="AK17" i="11" s="1"/>
  <c r="AJ18" i="11"/>
  <c r="AI42" i="11"/>
  <c r="AJ36" i="11"/>
  <c r="AJ41" i="11" s="1"/>
  <c r="AH19" i="12"/>
  <c r="AH24" i="12" s="1"/>
  <c r="AG25" i="12"/>
  <c r="AG41" i="12"/>
  <c r="AH35" i="12"/>
  <c r="AH40" i="12" s="1"/>
  <c r="AH10" i="11"/>
  <c r="AI4" i="11"/>
  <c r="AI9" i="11" s="1"/>
  <c r="AH41" i="4"/>
  <c r="AI35" i="4"/>
  <c r="AI40" i="4" s="1"/>
  <c r="AH49" i="4"/>
  <c r="AI43" i="4"/>
  <c r="AI48" i="4" s="1"/>
  <c r="AK26" i="11"/>
  <c r="AL20" i="11"/>
  <c r="AL25" i="11" s="1"/>
  <c r="AI89" i="4" l="1"/>
  <c r="AJ83" i="4"/>
  <c r="AJ88" i="4" s="1"/>
  <c r="AI81" i="4"/>
  <c r="AJ75" i="4"/>
  <c r="AJ80" i="4" s="1"/>
  <c r="AI65" i="4"/>
  <c r="AJ59" i="4"/>
  <c r="AJ64" i="4" s="1"/>
  <c r="AI73" i="4"/>
  <c r="AJ67" i="4"/>
  <c r="AJ72" i="4" s="1"/>
  <c r="AI33" i="4"/>
  <c r="AJ27" i="4"/>
  <c r="AJ32" i="4" s="1"/>
  <c r="AH41" i="12"/>
  <c r="AI35" i="12"/>
  <c r="AI40" i="12" s="1"/>
  <c r="AI49" i="4"/>
  <c r="AJ43" i="4"/>
  <c r="AJ48" i="4" s="1"/>
  <c r="AH25" i="12"/>
  <c r="AI19" i="12"/>
  <c r="AI24" i="12" s="1"/>
  <c r="AH9" i="12"/>
  <c r="AI3" i="12"/>
  <c r="AI8" i="12" s="1"/>
  <c r="AI41" i="4"/>
  <c r="AJ35" i="4"/>
  <c r="AJ40" i="4" s="1"/>
  <c r="AJ42" i="11"/>
  <c r="AK36" i="11"/>
  <c r="AK41" i="11" s="1"/>
  <c r="AJ28" i="11"/>
  <c r="AJ33" i="11" s="1"/>
  <c r="AI34" i="11"/>
  <c r="AK18" i="11"/>
  <c r="AL12" i="11"/>
  <c r="AL17" i="11" s="1"/>
  <c r="AL26" i="11"/>
  <c r="AM20" i="11"/>
  <c r="AM25" i="11" s="1"/>
  <c r="AH33" i="12"/>
  <c r="AI27" i="12"/>
  <c r="AI32" i="12" s="1"/>
  <c r="AI57" i="4"/>
  <c r="AJ51" i="4"/>
  <c r="AJ56" i="4" s="1"/>
  <c r="AI10" i="11"/>
  <c r="AJ4" i="11"/>
  <c r="AJ9" i="11" s="1"/>
  <c r="AH17" i="12"/>
  <c r="AI11" i="12"/>
  <c r="AI16" i="12" s="1"/>
  <c r="AJ11" i="4"/>
  <c r="AJ16" i="4" s="1"/>
  <c r="AI17" i="4"/>
  <c r="AJ65" i="4" l="1"/>
  <c r="AK59" i="4"/>
  <c r="AK64" i="4" s="1"/>
  <c r="AJ81" i="4"/>
  <c r="AK75" i="4"/>
  <c r="AK80" i="4" s="1"/>
  <c r="AJ89" i="4"/>
  <c r="AK83" i="4"/>
  <c r="AK88" i="4" s="1"/>
  <c r="AJ73" i="4"/>
  <c r="AK67" i="4"/>
  <c r="AK72" i="4" s="1"/>
  <c r="AJ57" i="4"/>
  <c r="AK51" i="4"/>
  <c r="AK56" i="4" s="1"/>
  <c r="AK11" i="4"/>
  <c r="AK16" i="4" s="1"/>
  <c r="AJ17" i="4"/>
  <c r="AM26" i="11"/>
  <c r="AN20" i="11"/>
  <c r="AN25" i="11" s="1"/>
  <c r="AN26" i="11" s="1"/>
  <c r="AJ41" i="4"/>
  <c r="AK35" i="4"/>
  <c r="AK40" i="4" s="1"/>
  <c r="AI41" i="12"/>
  <c r="AJ35" i="12"/>
  <c r="AJ40" i="12" s="1"/>
  <c r="AK42" i="11"/>
  <c r="AL36" i="11"/>
  <c r="AL41" i="11" s="1"/>
  <c r="AI17" i="12"/>
  <c r="AJ11" i="12"/>
  <c r="AJ16" i="12" s="1"/>
  <c r="AI25" i="12"/>
  <c r="AJ19" i="12"/>
  <c r="AJ24" i="12" s="1"/>
  <c r="AI33" i="12"/>
  <c r="AJ27" i="12"/>
  <c r="AJ32" i="12" s="1"/>
  <c r="AJ10" i="11"/>
  <c r="AK4" i="11"/>
  <c r="AK9" i="11" s="1"/>
  <c r="AL18" i="11"/>
  <c r="AM12" i="11"/>
  <c r="AM17" i="11" s="1"/>
  <c r="AI9" i="12"/>
  <c r="AJ3" i="12"/>
  <c r="AJ8" i="12" s="1"/>
  <c r="AK27" i="4"/>
  <c r="AK32" i="4" s="1"/>
  <c r="AJ33" i="4"/>
  <c r="AJ34" i="11"/>
  <c r="AK28" i="11"/>
  <c r="AK33" i="11" s="1"/>
  <c r="AJ49" i="4"/>
  <c r="AK43" i="4"/>
  <c r="AK48" i="4" s="1"/>
  <c r="AK89" i="4" l="1"/>
  <c r="AL83" i="4"/>
  <c r="AL88" i="4" s="1"/>
  <c r="AK81" i="4"/>
  <c r="AL75" i="4"/>
  <c r="AL80" i="4" s="1"/>
  <c r="AK65" i="4"/>
  <c r="AL59" i="4"/>
  <c r="AL64" i="4" s="1"/>
  <c r="AK73" i="4"/>
  <c r="AL67" i="4"/>
  <c r="AL72" i="4" s="1"/>
  <c r="AN12" i="11"/>
  <c r="AN17" i="11" s="1"/>
  <c r="AN18" i="11" s="1"/>
  <c r="AM18" i="11"/>
  <c r="AJ9" i="12"/>
  <c r="AK3" i="12"/>
  <c r="AK8" i="12" s="1"/>
  <c r="AK19" i="12"/>
  <c r="AK24" i="12" s="1"/>
  <c r="AJ25" i="12"/>
  <c r="AK10" i="11"/>
  <c r="AL4" i="11"/>
  <c r="AL9" i="11" s="1"/>
  <c r="AK27" i="12"/>
  <c r="AK32" i="12" s="1"/>
  <c r="AJ33" i="12"/>
  <c r="AJ41" i="12"/>
  <c r="AK35" i="12"/>
  <c r="AK40" i="12" s="1"/>
  <c r="AL11" i="4"/>
  <c r="AL16" i="4" s="1"/>
  <c r="AK17" i="4"/>
  <c r="AK41" i="4"/>
  <c r="AL35" i="4"/>
  <c r="AL40" i="4" s="1"/>
  <c r="AK49" i="4"/>
  <c r="AL43" i="4"/>
  <c r="AL48" i="4" s="1"/>
  <c r="AJ17" i="12"/>
  <c r="AK11" i="12"/>
  <c r="AK16" i="12" s="1"/>
  <c r="AK34" i="11"/>
  <c r="AL28" i="11"/>
  <c r="AL33" i="11" s="1"/>
  <c r="AL42" i="11"/>
  <c r="AM36" i="11"/>
  <c r="AM41" i="11" s="1"/>
  <c r="AK33" i="4"/>
  <c r="AL27" i="4"/>
  <c r="AL32" i="4" s="1"/>
  <c r="AK57" i="4"/>
  <c r="AL51" i="4"/>
  <c r="AL56" i="4" s="1"/>
  <c r="AL65" i="4" l="1"/>
  <c r="AM59" i="4"/>
  <c r="AM64" i="4" s="1"/>
  <c r="AL81" i="4"/>
  <c r="AM75" i="4"/>
  <c r="AM80" i="4" s="1"/>
  <c r="AL89" i="4"/>
  <c r="AM83" i="4"/>
  <c r="AM88" i="4" s="1"/>
  <c r="AM67" i="4"/>
  <c r="AM72" i="4" s="1"/>
  <c r="AL73" i="4"/>
  <c r="AL41" i="4"/>
  <c r="AM35" i="4"/>
  <c r="AM40" i="4" s="1"/>
  <c r="AL34" i="11"/>
  <c r="AM28" i="11"/>
  <c r="AM33" i="11" s="1"/>
  <c r="AL19" i="12"/>
  <c r="AL24" i="12" s="1"/>
  <c r="AK25" i="12"/>
  <c r="AM42" i="11"/>
  <c r="AN36" i="11"/>
  <c r="AN41" i="11" s="1"/>
  <c r="AN42" i="11" s="1"/>
  <c r="AL10" i="11"/>
  <c r="AM4" i="11"/>
  <c r="AM9" i="11" s="1"/>
  <c r="AM11" i="4"/>
  <c r="AM16" i="4" s="1"/>
  <c r="AL17" i="4"/>
  <c r="AL57" i="4"/>
  <c r="AM51" i="4"/>
  <c r="AM56" i="4" s="1"/>
  <c r="AK17" i="12"/>
  <c r="AL11" i="12"/>
  <c r="AL16" i="12" s="1"/>
  <c r="AK41" i="12"/>
  <c r="AL35" i="12"/>
  <c r="AL40" i="12" s="1"/>
  <c r="AL3" i="12"/>
  <c r="AL8" i="12" s="1"/>
  <c r="AK9" i="12"/>
  <c r="AL33" i="4"/>
  <c r="AM27" i="4"/>
  <c r="AM32" i="4" s="1"/>
  <c r="AL49" i="4"/>
  <c r="AM43" i="4"/>
  <c r="AM48" i="4" s="1"/>
  <c r="AL27" i="12"/>
  <c r="AL32" i="12" s="1"/>
  <c r="AK33" i="12"/>
  <c r="AM89" i="4" l="1"/>
  <c r="AN83" i="4"/>
  <c r="AN88" i="4" s="1"/>
  <c r="AM81" i="4"/>
  <c r="AN75" i="4"/>
  <c r="AN80" i="4" s="1"/>
  <c r="AM65" i="4"/>
  <c r="AN59" i="4"/>
  <c r="AN64" i="4" s="1"/>
  <c r="AM73" i="4"/>
  <c r="AN67" i="4"/>
  <c r="AN72" i="4" s="1"/>
  <c r="AL25" i="12"/>
  <c r="AM19" i="12"/>
  <c r="AM24" i="12" s="1"/>
  <c r="AN28" i="11"/>
  <c r="AN33" i="11" s="1"/>
  <c r="AN34" i="11" s="1"/>
  <c r="AM34" i="11"/>
  <c r="AM57" i="4"/>
  <c r="AN51" i="4"/>
  <c r="AN56" i="4" s="1"/>
  <c r="AN11" i="4"/>
  <c r="AN16" i="4" s="1"/>
  <c r="AM17" i="4"/>
  <c r="AM33" i="4"/>
  <c r="AN27" i="4"/>
  <c r="AN32" i="4" s="1"/>
  <c r="AL9" i="12"/>
  <c r="AM3" i="12"/>
  <c r="AM8" i="12" s="1"/>
  <c r="AM35" i="12"/>
  <c r="AM40" i="12" s="1"/>
  <c r="AL41" i="12"/>
  <c r="AM10" i="11"/>
  <c r="AN4" i="11"/>
  <c r="AN9" i="11" s="1"/>
  <c r="AN10" i="11" s="1"/>
  <c r="AM41" i="4"/>
  <c r="AN35" i="4"/>
  <c r="AN40" i="4" s="1"/>
  <c r="AL33" i="12"/>
  <c r="AM27" i="12"/>
  <c r="AM32" i="12" s="1"/>
  <c r="AM49" i="4"/>
  <c r="AN43" i="4"/>
  <c r="AN48" i="4" s="1"/>
  <c r="AL17" i="12"/>
  <c r="AM11" i="12"/>
  <c r="AM16" i="12" s="1"/>
  <c r="AN65" i="4" l="1"/>
  <c r="AO59" i="4"/>
  <c r="AO64" i="4" s="1"/>
  <c r="AO65" i="4" s="1"/>
  <c r="AN81" i="4"/>
  <c r="AO75" i="4"/>
  <c r="AO80" i="4" s="1"/>
  <c r="AO81" i="4" s="1"/>
  <c r="AN89" i="4"/>
  <c r="AO83" i="4"/>
  <c r="AO88" i="4" s="1"/>
  <c r="AO89" i="4" s="1"/>
  <c r="AN73" i="4"/>
  <c r="AO67" i="4"/>
  <c r="AO72" i="4" s="1"/>
  <c r="AO73" i="4" s="1"/>
  <c r="AN41" i="4"/>
  <c r="AO35" i="4"/>
  <c r="AO40" i="4" s="1"/>
  <c r="AO41" i="4" s="1"/>
  <c r="AM25" i="12"/>
  <c r="AN19" i="12"/>
  <c r="AN24" i="12" s="1"/>
  <c r="AN25" i="12" s="1"/>
  <c r="AN57" i="4"/>
  <c r="AO51" i="4"/>
  <c r="AO56" i="4" s="1"/>
  <c r="AO57" i="4" s="1"/>
  <c r="AM17" i="12"/>
  <c r="AN11" i="12"/>
  <c r="AN16" i="12" s="1"/>
  <c r="AN17" i="12" s="1"/>
  <c r="AO43" i="4"/>
  <c r="AO48" i="4" s="1"/>
  <c r="AO49" i="4" s="1"/>
  <c r="AN49" i="4"/>
  <c r="AM41" i="12"/>
  <c r="AN35" i="12"/>
  <c r="AN40" i="12" s="1"/>
  <c r="AN41" i="12" s="1"/>
  <c r="AM33" i="12"/>
  <c r="AN27" i="12"/>
  <c r="AN32" i="12" s="1"/>
  <c r="AN33" i="12" s="1"/>
  <c r="AM9" i="12"/>
  <c r="AN3" i="12"/>
  <c r="AN8" i="12" s="1"/>
  <c r="AN9" i="12" s="1"/>
  <c r="AN33" i="4"/>
  <c r="AO27" i="4"/>
  <c r="AO32" i="4" s="1"/>
  <c r="AO33" i="4" s="1"/>
  <c r="AO11" i="4"/>
  <c r="AO16" i="4" s="1"/>
  <c r="AN17" i="4"/>
  <c r="AO17" i="4" l="1"/>
  <c r="AP16" i="4"/>
</calcChain>
</file>

<file path=xl/sharedStrings.xml><?xml version="1.0" encoding="utf-8"?>
<sst xmlns="http://schemas.openxmlformats.org/spreadsheetml/2006/main" count="943" uniqueCount="73">
  <si>
    <t>SKU Name</t>
  </si>
  <si>
    <t>Total 2025</t>
  </si>
  <si>
    <t>Total 2026</t>
  </si>
  <si>
    <t>Total 2027</t>
  </si>
  <si>
    <t>1kg</t>
  </si>
  <si>
    <t>Al Fakher Grapes &amp; Mint 1kg</t>
  </si>
  <si>
    <t>Al Fakher Grapes 1kg</t>
  </si>
  <si>
    <t>Al Fakher Lemon Mint 1kg</t>
  </si>
  <si>
    <t>Al Fakher Mint 1kg</t>
  </si>
  <si>
    <t>Al Fakher Two apple 1kg</t>
  </si>
  <si>
    <t>250g</t>
  </si>
  <si>
    <t>Al Fakher Grapes &amp; Mint 250g</t>
  </si>
  <si>
    <t>Al Fakher Grapes 250g</t>
  </si>
  <si>
    <t>Al Fakher Lemon Mint 250g</t>
  </si>
  <si>
    <t>Al Fakher Two apple 250g</t>
  </si>
  <si>
    <t>Al Fakher Two Apple Bahraini  250g</t>
  </si>
  <si>
    <t>50g</t>
  </si>
  <si>
    <t>Al Fakher Blueberry Mint 50g</t>
  </si>
  <si>
    <t xml:space="preserve"> -   </t>
  </si>
  <si>
    <t xml:space="preserve">                   -   </t>
  </si>
  <si>
    <t xml:space="preserve">                  -   </t>
  </si>
  <si>
    <t>Al Fakher Blueberry 50g</t>
  </si>
  <si>
    <t>Al Fakher Buble Gum 50g</t>
  </si>
  <si>
    <t>Al Fakher Grapes &amp; Mint 50g</t>
  </si>
  <si>
    <t>Al Fakher Grapes 50g</t>
  </si>
  <si>
    <t>Al Fakher Gum Mint 50g</t>
  </si>
  <si>
    <t>Al Fakher Gum  50g</t>
  </si>
  <si>
    <t>Al Fakher Lemon Mint 50g</t>
  </si>
  <si>
    <t>Al Fakher Magic Love 50g</t>
  </si>
  <si>
    <t>Al Fakher Mint 50g</t>
  </si>
  <si>
    <t>Al Fakher Two apple 50g</t>
  </si>
  <si>
    <t>Lemonade Mint 50g</t>
  </si>
  <si>
    <t>Lemonade Pear 50g</t>
  </si>
  <si>
    <t>Al Fakher Double Apple Classic 50g</t>
  </si>
  <si>
    <t>Al Fakher Double Apple Classic 250g</t>
  </si>
  <si>
    <t>Al Fakher Double Apple Classic 1Kg</t>
  </si>
  <si>
    <t>Al Fakher Italian Lemon Mint 50g</t>
  </si>
  <si>
    <t>Al Fakher Italian Lemon Mint 250g</t>
  </si>
  <si>
    <t>Al Fakher Italian Lemon Mint 1Kg</t>
  </si>
  <si>
    <t>Total without Classic &amp; Italian</t>
  </si>
  <si>
    <t>Total with Classic &amp; Italian</t>
  </si>
  <si>
    <t xml:space="preserve"> </t>
  </si>
  <si>
    <t>W1</t>
  </si>
  <si>
    <t>W2</t>
  </si>
  <si>
    <t>W3</t>
  </si>
  <si>
    <t>W4</t>
  </si>
  <si>
    <t>Total</t>
  </si>
  <si>
    <t> </t>
  </si>
  <si>
    <t xml:space="preserve">                            -  </t>
  </si>
  <si>
    <t xml:space="preserve">                           -  </t>
  </si>
  <si>
    <t xml:space="preserve">                        -  </t>
  </si>
  <si>
    <t>Shipment</t>
  </si>
  <si>
    <t>Target</t>
  </si>
  <si>
    <t>Opening stock</t>
  </si>
  <si>
    <t>Adjustments</t>
  </si>
  <si>
    <t>IMS</t>
  </si>
  <si>
    <t>Invoiced (SHP)</t>
  </si>
  <si>
    <t>Actual arrivals / Planned Orders</t>
  </si>
  <si>
    <t>Closing Stock</t>
  </si>
  <si>
    <t>Closing Stock  - Weeks</t>
  </si>
  <si>
    <t>Total FRCT</t>
  </si>
  <si>
    <t>Total IMS</t>
  </si>
  <si>
    <t>Difference</t>
  </si>
  <si>
    <t>MTD Difference</t>
  </si>
  <si>
    <t xml:space="preserve">Total Arrival </t>
  </si>
  <si>
    <t xml:space="preserve">Diff Fore Vs Arrival </t>
  </si>
  <si>
    <t xml:space="preserve">                 -   </t>
  </si>
  <si>
    <t xml:space="preserve">                -   </t>
  </si>
  <si>
    <t xml:space="preserve">                    -  </t>
  </si>
  <si>
    <t>Al Fakher Double Apple Classic 1kg</t>
  </si>
  <si>
    <t>Al Fakher Italian Lemon Mint 1kg</t>
  </si>
  <si>
    <t>walid.eltayeh@air.global</t>
  </si>
  <si>
    <t>x`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</si>
</sst>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0000000_);_(* \(#,##0.00000000\);_(* &quot;-&quot;??_);_(@_)"/>
    <numFmt numFmtId="168" formatCode="_(* #,##0.000_);_(* \(#,##0.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b/>
      <sz val="11"/>
      <color rgb="FF000000"/>
      <name val="Aptos Narrow"/>
      <family val="2"/>
    </font>
    <font>
      <u/>
      <sz val="11"/>
      <color rgb="FF000000"/>
      <name val="Aptos Narrow"/>
      <family val="2"/>
    </font>
    <font>
      <b/>
      <i/>
      <sz val="11"/>
      <color theme="6" tint="-0.249977111117893"/>
      <name val="Aptos Narrow"/>
      <family val="2"/>
      <scheme val="minor"/>
    </font>
    <font>
      <b/>
      <sz val="11"/>
      <color theme="0"/>
      <name val="Aptos Narrow"/>
    </font>
    <font>
      <sz val="11"/>
      <color rgb="FF000000"/>
      <name val="Calibri"/>
      <family val="2"/>
    </font>
    <font>
      <b/>
      <i/>
      <u/>
      <sz val="11"/>
      <color rgb="FF000000"/>
      <name val="Aptos Narrow"/>
      <family val="2"/>
    </font>
    <font>
      <sz val="11"/>
      <color rgb="FF000000"/>
      <name val="Aptos Narrow"/>
    </font>
    <font>
      <u/>
      <sz val="11"/>
      <color theme="10"/>
      <name val="Aptos Narrow"/>
      <family val="2"/>
      <scheme val="minor"/>
    </font>
    <font>
      <b/>
      <i/>
      <u/>
      <sz val="11"/>
      <color rgb="FFFF0000"/>
      <name val="Aptos Narrow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BC5"/>
        <bgColor rgb="FFC6EBC5"/>
      </patternFill>
    </fill>
    <fill>
      <patternFill patternType="solid">
        <fgColor rgb="FFF2F2F2"/>
        <bgColor indexed="64"/>
      </patternFill>
    </fill>
    <fill>
      <patternFill patternType="solid">
        <fgColor rgb="FFDAE8F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rgb="FFC6EBC5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0000"/>
        <bgColor indexed="64"/>
      </patternFill>
    </fill>
    <fill>
      <patternFill patternType="solid">
        <fgColor rgb="FF07931B"/>
        <bgColor indexed="64"/>
      </patternFill>
    </fill>
    <fill>
      <patternFill patternType="solid">
        <fgColor rgb="FF3A3838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7" fontId="3" fillId="3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2" fillId="0" borderId="6" xfId="2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0" fillId="0" borderId="0" xfId="2" applyFont="1" applyAlignment="1">
      <alignment horizontal="center" vertical="center"/>
    </xf>
    <xf numFmtId="164" fontId="3" fillId="0" borderId="0" xfId="2" applyFont="1" applyAlignment="1">
      <alignment horizontal="center" vertical="center"/>
    </xf>
    <xf numFmtId="164" fontId="2" fillId="0" borderId="6" xfId="2" applyFont="1" applyBorder="1" applyAlignment="1">
      <alignment horizontal="center" vertical="center"/>
    </xf>
    <xf numFmtId="164" fontId="2" fillId="0" borderId="7" xfId="2" applyFont="1" applyBorder="1" applyAlignment="1">
      <alignment horizontal="center" vertical="center"/>
    </xf>
    <xf numFmtId="164" fontId="0" fillId="0" borderId="6" xfId="2" applyFont="1" applyBorder="1" applyAlignment="1">
      <alignment horizontal="center" vertical="center"/>
    </xf>
    <xf numFmtId="164" fontId="3" fillId="0" borderId="7" xfId="2" applyFont="1" applyBorder="1" applyAlignment="1">
      <alignment horizontal="center" vertical="center"/>
    </xf>
    <xf numFmtId="0" fontId="1" fillId="6" borderId="2" xfId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5" fontId="0" fillId="7" borderId="0" xfId="2" applyNumberFormat="1" applyFont="1" applyFill="1" applyBorder="1" applyAlignment="1">
      <alignment horizontal="center" vertical="center"/>
    </xf>
    <xf numFmtId="165" fontId="2" fillId="7" borderId="0" xfId="2" applyNumberFormat="1" applyFont="1" applyFill="1" applyBorder="1" applyAlignment="1">
      <alignment horizontal="center" vertical="center"/>
    </xf>
    <xf numFmtId="165" fontId="4" fillId="8" borderId="3" xfId="2" applyNumberFormat="1" applyFont="1" applyFill="1" applyBorder="1" applyAlignment="1">
      <alignment horizontal="center" vertical="center"/>
    </xf>
    <xf numFmtId="165" fontId="1" fillId="0" borderId="1" xfId="2" applyNumberFormat="1" applyFont="1" applyBorder="1" applyAlignment="1">
      <alignment horizontal="center" vertical="center"/>
    </xf>
    <xf numFmtId="165" fontId="1" fillId="4" borderId="1" xfId="2" applyNumberFormat="1" applyFont="1" applyFill="1" applyBorder="1" applyAlignment="1">
      <alignment horizontal="center" vertical="center"/>
    </xf>
    <xf numFmtId="17" fontId="3" fillId="2" borderId="9" xfId="0" applyNumberFormat="1" applyFont="1" applyFill="1" applyBorder="1" applyAlignment="1">
      <alignment horizontal="center" vertical="center"/>
    </xf>
    <xf numFmtId="17" fontId="3" fillId="2" borderId="10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5" fontId="1" fillId="6" borderId="11" xfId="2" applyNumberFormat="1" applyFont="1" applyFill="1" applyBorder="1" applyAlignment="1">
      <alignment horizontal="center" vertical="center"/>
    </xf>
    <xf numFmtId="165" fontId="4" fillId="8" borderId="2" xfId="2" applyNumberFormat="1" applyFont="1" applyFill="1" applyBorder="1" applyAlignment="1">
      <alignment horizontal="center" vertical="center"/>
    </xf>
    <xf numFmtId="0" fontId="1" fillId="5" borderId="4" xfId="1" applyFill="1" applyBorder="1" applyAlignment="1">
      <alignment horizontal="center" vertical="center"/>
    </xf>
    <xf numFmtId="164" fontId="0" fillId="5" borderId="12" xfId="2" applyFont="1" applyFill="1" applyBorder="1" applyAlignment="1">
      <alignment horizontal="center" vertical="center"/>
    </xf>
    <xf numFmtId="165" fontId="4" fillId="8" borderId="4" xfId="2" applyNumberFormat="1" applyFont="1" applyFill="1" applyBorder="1" applyAlignment="1">
      <alignment horizontal="center" vertical="center"/>
    </xf>
    <xf numFmtId="17" fontId="3" fillId="3" borderId="13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7" borderId="0" xfId="2" applyFont="1" applyFill="1" applyBorder="1" applyAlignment="1">
      <alignment horizontal="center" vertical="center"/>
    </xf>
    <xf numFmtId="0" fontId="3" fillId="10" borderId="3" xfId="1" applyFont="1" applyFill="1" applyBorder="1" applyAlignment="1">
      <alignment horizontal="center" vertical="center"/>
    </xf>
    <xf numFmtId="165" fontId="1" fillId="10" borderId="1" xfId="2" applyNumberFormat="1" applyFont="1" applyFill="1" applyBorder="1" applyAlignment="1">
      <alignment horizontal="center" vertical="center"/>
    </xf>
    <xf numFmtId="165" fontId="6" fillId="10" borderId="1" xfId="2" applyNumberFormat="1" applyFont="1" applyFill="1" applyBorder="1" applyAlignment="1">
      <alignment horizontal="center" vertical="center"/>
    </xf>
    <xf numFmtId="17" fontId="2" fillId="2" borderId="9" xfId="0" applyNumberFormat="1" applyFont="1" applyFill="1" applyBorder="1" applyAlignment="1">
      <alignment horizontal="center" vertical="center"/>
    </xf>
    <xf numFmtId="17" fontId="2" fillId="2" borderId="10" xfId="0" applyNumberFormat="1" applyFont="1" applyFill="1" applyBorder="1" applyAlignment="1">
      <alignment horizontal="center" vertical="center"/>
    </xf>
    <xf numFmtId="0" fontId="1" fillId="6" borderId="3" xfId="1" applyFill="1" applyBorder="1" applyAlignment="1">
      <alignment horizontal="center" vertical="center"/>
    </xf>
    <xf numFmtId="165" fontId="1" fillId="6" borderId="1" xfId="2" applyNumberFormat="1" applyFont="1" applyFill="1" applyBorder="1" applyAlignment="1">
      <alignment horizontal="center" vertical="center"/>
    </xf>
    <xf numFmtId="17" fontId="2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0" applyFont="1"/>
    <xf numFmtId="165" fontId="0" fillId="6" borderId="11" xfId="2" applyNumberFormat="1" applyFont="1" applyFill="1" applyBorder="1" applyAlignment="1">
      <alignment horizontal="center" vertical="center"/>
    </xf>
    <xf numFmtId="165" fontId="0" fillId="0" borderId="0" xfId="2" applyNumberFormat="1" applyFont="1" applyFill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3" fontId="7" fillId="0" borderId="0" xfId="0" applyNumberFormat="1" applyFont="1"/>
    <xf numFmtId="0" fontId="7" fillId="13" borderId="0" xfId="0" applyFont="1" applyFill="1"/>
    <xf numFmtId="9" fontId="0" fillId="0" borderId="0" xfId="0" applyNumberFormat="1" applyAlignment="1">
      <alignment horizontal="center" vertical="center"/>
    </xf>
    <xf numFmtId="0" fontId="8" fillId="0" borderId="0" xfId="0" applyFont="1"/>
    <xf numFmtId="0" fontId="9" fillId="0" borderId="0" xfId="0" applyFont="1"/>
    <xf numFmtId="16" fontId="9" fillId="14" borderId="0" xfId="0" applyNumberFormat="1" applyFont="1" applyFill="1"/>
    <xf numFmtId="0" fontId="8" fillId="0" borderId="5" xfId="0" applyFont="1" applyBorder="1"/>
    <xf numFmtId="0" fontId="8" fillId="0" borderId="6" xfId="0" applyFont="1" applyBorder="1"/>
    <xf numFmtId="3" fontId="8" fillId="0" borderId="6" xfId="0" applyNumberFormat="1" applyFont="1" applyBorder="1"/>
    <xf numFmtId="0" fontId="8" fillId="13" borderId="6" xfId="0" applyFont="1" applyFill="1" applyBorder="1"/>
    <xf numFmtId="3" fontId="8" fillId="0" borderId="0" xfId="0" applyNumberFormat="1" applyFont="1"/>
    <xf numFmtId="3" fontId="8" fillId="0" borderId="7" xfId="0" applyNumberFormat="1" applyFont="1" applyBorder="1"/>
    <xf numFmtId="166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6" borderId="11" xfId="2" applyNumberFormat="1" applyFont="1" applyFill="1" applyBorder="1" applyAlignment="1">
      <alignment horizontal="center" vertical="center"/>
    </xf>
    <xf numFmtId="165" fontId="6" fillId="0" borderId="1" xfId="2" applyNumberFormat="1" applyFont="1" applyBorder="1" applyAlignment="1">
      <alignment horizontal="center" vertical="center"/>
    </xf>
    <xf numFmtId="165" fontId="6" fillId="6" borderId="1" xfId="2" applyNumberFormat="1" applyFont="1" applyFill="1" applyBorder="1" applyAlignment="1">
      <alignment horizontal="center" vertical="center"/>
    </xf>
    <xf numFmtId="164" fontId="6" fillId="7" borderId="0" xfId="2" applyFont="1" applyFill="1" applyBorder="1" applyAlignment="1">
      <alignment horizontal="center" vertical="center"/>
    </xf>
    <xf numFmtId="165" fontId="6" fillId="7" borderId="0" xfId="2" applyNumberFormat="1" applyFont="1" applyFill="1" applyBorder="1" applyAlignment="1">
      <alignment horizontal="center" vertical="center"/>
    </xf>
    <xf numFmtId="165" fontId="6" fillId="12" borderId="1" xfId="2" applyNumberFormat="1" applyFont="1" applyFill="1" applyBorder="1" applyAlignment="1">
      <alignment horizontal="center" vertical="center"/>
    </xf>
    <xf numFmtId="165" fontId="6" fillId="12" borderId="11" xfId="2" applyNumberFormat="1" applyFont="1" applyFill="1" applyBorder="1" applyAlignment="1">
      <alignment horizontal="center" vertical="center"/>
    </xf>
    <xf numFmtId="17" fontId="3" fillId="3" borderId="20" xfId="0" applyNumberFormat="1" applyFont="1" applyFill="1" applyBorder="1" applyAlignment="1">
      <alignment horizontal="center" vertical="center"/>
    </xf>
    <xf numFmtId="17" fontId="3" fillId="3" borderId="14" xfId="0" applyNumberFormat="1" applyFont="1" applyFill="1" applyBorder="1" applyAlignment="1">
      <alignment horizontal="center" vertical="center"/>
    </xf>
    <xf numFmtId="17" fontId="3" fillId="8" borderId="22" xfId="0" applyNumberFormat="1" applyFont="1" applyFill="1" applyBorder="1" applyAlignment="1">
      <alignment horizontal="center" vertical="center"/>
    </xf>
    <xf numFmtId="165" fontId="0" fillId="8" borderId="6" xfId="2" applyNumberFormat="1" applyFont="1" applyFill="1" applyBorder="1" applyAlignment="1">
      <alignment horizontal="center" vertical="center"/>
    </xf>
    <xf numFmtId="165" fontId="2" fillId="8" borderId="7" xfId="0" applyNumberFormat="1" applyFont="1" applyFill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9" fontId="7" fillId="0" borderId="0" xfId="0" applyNumberFormat="1" applyFont="1"/>
    <xf numFmtId="165" fontId="0" fillId="12" borderId="0" xfId="2" applyNumberFormat="1" applyFont="1" applyFill="1" applyAlignment="1">
      <alignment horizontal="center" vertical="center"/>
    </xf>
    <xf numFmtId="1" fontId="7" fillId="0" borderId="0" xfId="0" applyNumberFormat="1" applyFont="1"/>
    <xf numFmtId="1" fontId="8" fillId="0" borderId="0" xfId="0" applyNumberFormat="1" applyFont="1"/>
    <xf numFmtId="0" fontId="10" fillId="0" borderId="18" xfId="0" applyFont="1" applyBorder="1"/>
    <xf numFmtId="3" fontId="10" fillId="0" borderId="18" xfId="0" applyNumberFormat="1" applyFont="1" applyBorder="1"/>
    <xf numFmtId="0" fontId="10" fillId="11" borderId="18" xfId="0" applyFont="1" applyFill="1" applyBorder="1"/>
    <xf numFmtId="167" fontId="0" fillId="0" borderId="0" xfId="0" applyNumberFormat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165" fontId="2" fillId="0" borderId="25" xfId="0" applyNumberFormat="1" applyFont="1" applyBorder="1" applyAlignment="1">
      <alignment horizontal="center" vertical="center"/>
    </xf>
    <xf numFmtId="165" fontId="2" fillId="0" borderId="26" xfId="2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65" fontId="7" fillId="0" borderId="0" xfId="0" applyNumberFormat="1" applyFont="1"/>
    <xf numFmtId="165" fontId="8" fillId="0" borderId="0" xfId="0" applyNumberFormat="1" applyFont="1"/>
    <xf numFmtId="165" fontId="7" fillId="12" borderId="0" xfId="0" applyNumberFormat="1" applyFont="1" applyFill="1"/>
    <xf numFmtId="164" fontId="0" fillId="0" borderId="0" xfId="0" applyNumberFormat="1"/>
    <xf numFmtId="0" fontId="3" fillId="15" borderId="0" xfId="0" applyFont="1" applyFill="1" applyAlignment="1">
      <alignment horizontal="center" vertical="center"/>
    </xf>
    <xf numFmtId="165" fontId="7" fillId="15" borderId="0" xfId="0" applyNumberFormat="1" applyFont="1" applyFill="1"/>
    <xf numFmtId="165" fontId="2" fillId="8" borderId="19" xfId="0" applyNumberFormat="1" applyFont="1" applyFill="1" applyBorder="1" applyAlignment="1">
      <alignment horizontal="center" vertical="center"/>
    </xf>
    <xf numFmtId="165" fontId="0" fillId="8" borderId="27" xfId="2" applyNumberFormat="1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5" fontId="2" fillId="0" borderId="29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7" fontId="3" fillId="9" borderId="31" xfId="0" applyNumberFormat="1" applyFont="1" applyFill="1" applyBorder="1" applyAlignment="1">
      <alignment horizontal="center" vertical="center"/>
    </xf>
    <xf numFmtId="17" fontId="3" fillId="3" borderId="31" xfId="0" applyNumberFormat="1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0" fillId="0" borderId="33" xfId="0" applyFont="1" applyBorder="1"/>
    <xf numFmtId="165" fontId="0" fillId="8" borderId="0" xfId="2" applyNumberFormat="1" applyFont="1" applyFill="1" applyBorder="1" applyAlignment="1">
      <alignment horizontal="center" vertical="center"/>
    </xf>
    <xf numFmtId="0" fontId="10" fillId="0" borderId="0" xfId="0" applyFont="1"/>
    <xf numFmtId="168" fontId="2" fillId="0" borderId="0" xfId="0" applyNumberFormat="1" applyFont="1" applyAlignment="1">
      <alignment horizontal="center" vertical="center"/>
    </xf>
    <xf numFmtId="165" fontId="0" fillId="16" borderId="0" xfId="2" applyNumberFormat="1" applyFont="1" applyFill="1" applyAlignment="1">
      <alignment horizontal="center" vertical="center"/>
    </xf>
    <xf numFmtId="165" fontId="2" fillId="0" borderId="34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65" fontId="2" fillId="0" borderId="35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165" fontId="11" fillId="0" borderId="9" xfId="0" applyNumberFormat="1" applyFont="1" applyBorder="1" applyAlignment="1">
      <alignment horizontal="center" vertical="center"/>
    </xf>
    <xf numFmtId="165" fontId="11" fillId="0" borderId="10" xfId="0" applyNumberFormat="1" applyFont="1" applyBorder="1" applyAlignment="1">
      <alignment horizontal="center" vertical="center"/>
    </xf>
    <xf numFmtId="165" fontId="11" fillId="0" borderId="35" xfId="0" applyNumberFormat="1" applyFont="1" applyBorder="1" applyAlignment="1">
      <alignment horizontal="center" vertical="center"/>
    </xf>
    <xf numFmtId="165" fontId="11" fillId="0" borderId="34" xfId="0" applyNumberFormat="1" applyFont="1" applyBorder="1" applyAlignment="1">
      <alignment horizontal="center" vertical="center"/>
    </xf>
    <xf numFmtId="165" fontId="11" fillId="0" borderId="29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12" fillId="17" borderId="0" xfId="0" applyNumberFormat="1" applyFont="1" applyFill="1"/>
    <xf numFmtId="3" fontId="12" fillId="18" borderId="0" xfId="0" applyNumberFormat="1" applyFont="1" applyFill="1"/>
    <xf numFmtId="0" fontId="13" fillId="0" borderId="0" xfId="0" applyFont="1"/>
    <xf numFmtId="0" fontId="14" fillId="0" borderId="36" xfId="0" applyFont="1" applyBorder="1"/>
    <xf numFmtId="3" fontId="14" fillId="0" borderId="36" xfId="0" applyNumberFormat="1" applyFont="1" applyBorder="1"/>
    <xf numFmtId="0" fontId="14" fillId="19" borderId="36" xfId="0" applyFont="1" applyFill="1" applyBorder="1"/>
    <xf numFmtId="165" fontId="0" fillId="0" borderId="0" xfId="0" applyNumberFormat="1"/>
    <xf numFmtId="3" fontId="15" fillId="0" borderId="0" xfId="0" applyNumberFormat="1" applyFont="1"/>
    <xf numFmtId="0" fontId="16" fillId="0" borderId="0" xfId="3"/>
    <xf numFmtId="0" fontId="17" fillId="20" borderId="36" xfId="0" applyFont="1" applyFill="1" applyBorder="1"/>
    <xf numFmtId="165" fontId="2" fillId="12" borderId="6" xfId="2" applyNumberFormat="1" applyFont="1" applyFill="1" applyBorder="1" applyAlignment="1">
      <alignment horizontal="center" vertical="center"/>
    </xf>
    <xf numFmtId="165" fontId="4" fillId="8" borderId="37" xfId="2" applyNumberFormat="1" applyFont="1" applyFill="1" applyBorder="1" applyAlignment="1">
      <alignment horizontal="center" vertical="center"/>
    </xf>
    <xf numFmtId="165" fontId="4" fillId="8" borderId="38" xfId="2" applyNumberFormat="1" applyFont="1" applyFill="1" applyBorder="1" applyAlignment="1">
      <alignment horizontal="center" vertical="center"/>
    </xf>
    <xf numFmtId="165" fontId="1" fillId="10" borderId="38" xfId="2" applyNumberFormat="1" applyFont="1" applyFill="1" applyBorder="1" applyAlignment="1">
      <alignment horizontal="center" vertical="center"/>
    </xf>
    <xf numFmtId="165" fontId="4" fillId="8" borderId="39" xfId="2" applyNumberFormat="1" applyFont="1" applyFill="1" applyBorder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165" fontId="12" fillId="17" borderId="0" xfId="0" applyNumberFormat="1" applyFont="1" applyFill="1" applyAlignment="1">
      <alignment horizontal="center"/>
    </xf>
    <xf numFmtId="165" fontId="12" fillId="18" borderId="0" xfId="0" applyNumberFormat="1" applyFont="1" applyFill="1" applyAlignment="1">
      <alignment horizontal="center"/>
    </xf>
    <xf numFmtId="0" fontId="2" fillId="21" borderId="0" xfId="0" applyFont="1" applyFill="1" applyAlignment="1">
      <alignment horizontal="center" vertical="center"/>
    </xf>
    <xf numFmtId="0" fontId="14" fillId="11" borderId="40" xfId="0" applyFont="1" applyFill="1" applyBorder="1"/>
    <xf numFmtId="3" fontId="14" fillId="11" borderId="40" xfId="0" applyNumberFormat="1" applyFont="1" applyFill="1" applyBorder="1"/>
    <xf numFmtId="0" fontId="17" fillId="11" borderId="40" xfId="0" applyFont="1" applyFill="1" applyBorder="1"/>
    <xf numFmtId="9" fontId="0" fillId="0" borderId="0" xfId="2" applyNumberFormat="1" applyFont="1" applyAlignment="1">
      <alignment horizontal="center" vertical="center"/>
    </xf>
    <xf numFmtId="165" fontId="0" fillId="0" borderId="0" xfId="2" applyNumberFormat="1" applyFont="1" applyAlignment="1">
      <alignment vertical="center"/>
    </xf>
    <xf numFmtId="0" fontId="14" fillId="11" borderId="17" xfId="0" applyFont="1" applyFill="1" applyBorder="1"/>
    <xf numFmtId="3" fontId="14" fillId="11" borderId="17" xfId="0" applyNumberFormat="1" applyFont="1" applyFill="1" applyBorder="1"/>
    <xf numFmtId="0" fontId="17" fillId="11" borderId="17" xfId="0" applyFont="1" applyFill="1" applyBorder="1"/>
    <xf numFmtId="3" fontId="14" fillId="11" borderId="41" xfId="0" applyNumberFormat="1" applyFont="1" applyFill="1" applyBorder="1"/>
    <xf numFmtId="165" fontId="7" fillId="22" borderId="0" xfId="0" applyNumberFormat="1" applyFont="1" applyFill="1"/>
    <xf numFmtId="0" fontId="14" fillId="12" borderId="17" xfId="0" applyFont="1" applyFill="1" applyBorder="1"/>
    <xf numFmtId="17" fontId="3" fillId="3" borderId="13" xfId="0" applyNumberFormat="1" applyFont="1" applyFill="1" applyBorder="1" applyAlignment="1">
      <alignment horizontal="center" vertical="center"/>
    </xf>
    <xf numFmtId="17" fontId="3" fillId="3" borderId="16" xfId="0" applyNumberFormat="1" applyFont="1" applyFill="1" applyBorder="1" applyAlignment="1">
      <alignment horizontal="center" vertical="center"/>
    </xf>
    <xf numFmtId="17" fontId="3" fillId="3" borderId="15" xfId="0" applyNumberFormat="1" applyFont="1" applyFill="1" applyBorder="1" applyAlignment="1">
      <alignment horizontal="center" vertical="center"/>
    </xf>
    <xf numFmtId="17" fontId="3" fillId="3" borderId="24" xfId="0" applyNumberFormat="1" applyFont="1" applyFill="1" applyBorder="1" applyAlignment="1">
      <alignment horizontal="center" vertical="center"/>
    </xf>
    <xf numFmtId="17" fontId="3" fillId="3" borderId="23" xfId="0" applyNumberFormat="1" applyFont="1" applyFill="1" applyBorder="1" applyAlignment="1">
      <alignment horizontal="center" vertical="center"/>
    </xf>
    <xf numFmtId="17" fontId="3" fillId="3" borderId="21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4">
    <cellStyle name="Comma" xfId="2" builtinId="3"/>
    <cellStyle name="Hyperlink" xfId="3" builtinId="8"/>
    <cellStyle name="Normal" xfId="0" builtinId="0"/>
    <cellStyle name="Normal 5" xfId="1" xr:uid="{9D1D6852-56BB-4554-B432-F29FADE49785}"/>
  </cellStyles>
  <dxfs count="315"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FFF2CC"/>
      <color rgb="FFDAE8FC"/>
      <color rgb="FFCCCCCC"/>
      <color rgb="FFF2F2F2"/>
      <color rgb="FFF4CCCC"/>
      <color rgb="FFD9EAD3"/>
      <color rgb="FFC6EB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walid.eltayeh@air.glob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F9E2-0308-40FF-A960-A2400EAEC73D}">
  <sheetPr codeName="Sheet1">
    <tabColor rgb="FF92D050"/>
  </sheetPr>
  <dimension ref="A1:AO41"/>
  <sheetViews>
    <sheetView zoomScale="80" zoomScaleNormal="90" workbookViewId="0">
      <pane xSplit="15" ySplit="3" topLeftCell="P4" activePane="bottomRight" state="frozen"/>
      <selection pane="topRight" activeCell="B1" sqref="B1"/>
      <selection pane="bottomLeft" activeCell="A3" sqref="A3"/>
      <selection pane="bottomRight" activeCell="AB32" sqref="AB32"/>
    </sheetView>
  </sheetViews>
  <sheetFormatPr defaultColWidth="8.81640625" defaultRowHeight="14.5" outlineLevelCol="1" x14ac:dyDescent="0.35"/>
  <cols>
    <col min="1" max="1" width="8.81640625" style="1"/>
    <col min="2" max="2" width="33" style="1" bestFit="1" customWidth="1"/>
    <col min="3" max="3" width="9.1796875" style="1" hidden="1" customWidth="1" outlineLevel="1"/>
    <col min="4" max="5" width="9.54296875" style="1" hidden="1" customWidth="1" outlineLevel="1"/>
    <col min="6" max="6" width="9.26953125" style="1" hidden="1" customWidth="1" outlineLevel="1"/>
    <col min="7" max="7" width="9.81640625" style="1" hidden="1" customWidth="1" outlineLevel="1"/>
    <col min="8" max="8" width="9.26953125" style="1" hidden="1" customWidth="1" outlineLevel="1"/>
    <col min="9" max="9" width="8.7265625" style="1" hidden="1" customWidth="1" outlineLevel="1"/>
    <col min="10" max="11" width="9.54296875" style="1" hidden="1" customWidth="1" outlineLevel="1"/>
    <col min="12" max="12" width="9.453125" style="1" hidden="1" customWidth="1" outlineLevel="1"/>
    <col min="13" max="14" width="9.7265625" style="1" hidden="1" customWidth="1" outlineLevel="1"/>
    <col min="15" max="15" width="13.26953125" style="10" customWidth="1" collapsed="1"/>
    <col min="16" max="17" width="10.26953125" style="1" customWidth="1" outlineLevel="1"/>
    <col min="18" max="18" width="10.7265625" style="1" customWidth="1" outlineLevel="1"/>
    <col min="19" max="19" width="9.26953125" style="1" customWidth="1" outlineLevel="1"/>
    <col min="20" max="20" width="9.81640625" style="1" customWidth="1" outlineLevel="1"/>
    <col min="21" max="21" width="9.26953125" style="1" customWidth="1" outlineLevel="1"/>
    <col min="22" max="22" width="8.7265625" style="1" customWidth="1" outlineLevel="1"/>
    <col min="23" max="24" width="9.54296875" style="1" customWidth="1" outlineLevel="1"/>
    <col min="25" max="25" width="9.453125" style="1" customWidth="1" outlineLevel="1"/>
    <col min="26" max="27" width="9.7265625" style="1" customWidth="1" outlineLevel="1"/>
    <col min="28" max="28" width="14.54296875" style="10" bestFit="1" customWidth="1"/>
    <col min="29" max="29" width="10.7265625" style="10" customWidth="1" outlineLevel="1"/>
    <col min="30" max="30" width="9.54296875" style="58" customWidth="1" outlineLevel="1"/>
    <col min="31" max="31" width="9.54296875" style="1" customWidth="1" outlineLevel="1"/>
    <col min="32" max="32" width="9.26953125" style="1" customWidth="1" outlineLevel="1"/>
    <col min="33" max="33" width="9.81640625" style="1" customWidth="1" outlineLevel="1"/>
    <col min="34" max="34" width="9.26953125" style="1" customWidth="1" outlineLevel="1"/>
    <col min="35" max="35" width="11.81640625" style="1" customWidth="1" outlineLevel="1"/>
    <col min="36" max="37" width="9.54296875" style="1" customWidth="1" outlineLevel="1"/>
    <col min="38" max="38" width="9.453125" style="1" customWidth="1" outlineLevel="1"/>
    <col min="39" max="40" width="9.7265625" style="1" customWidth="1" outlineLevel="1"/>
    <col min="41" max="41" width="13.26953125" style="1" bestFit="1" customWidth="1"/>
    <col min="42" max="16384" width="8.81640625" style="1"/>
  </cols>
  <sheetData>
    <row r="1" spans="1:41" ht="15" thickBot="1" x14ac:dyDescent="0.4"/>
    <row r="2" spans="1:41" s="6" customFormat="1" x14ac:dyDescent="0.35">
      <c r="B2" s="6" t="s">
        <v>0</v>
      </c>
      <c r="C2" s="9">
        <v>45658</v>
      </c>
      <c r="D2" s="9">
        <v>45689</v>
      </c>
      <c r="E2" s="9">
        <v>45717</v>
      </c>
      <c r="F2" s="9">
        <v>45748</v>
      </c>
      <c r="G2" s="9">
        <v>45778</v>
      </c>
      <c r="H2" s="9">
        <v>45809</v>
      </c>
      <c r="I2" s="9">
        <v>45839</v>
      </c>
      <c r="J2" s="9">
        <v>45870</v>
      </c>
      <c r="K2" s="9">
        <v>45901</v>
      </c>
      <c r="L2" s="9">
        <v>45931</v>
      </c>
      <c r="M2" s="9">
        <v>45962</v>
      </c>
      <c r="N2" s="9">
        <v>45992</v>
      </c>
      <c r="O2" s="54" t="s">
        <v>1</v>
      </c>
      <c r="P2" s="9">
        <v>46023</v>
      </c>
      <c r="Q2" s="9">
        <v>46054</v>
      </c>
      <c r="R2" s="9">
        <v>46082</v>
      </c>
      <c r="S2" s="9">
        <v>46113</v>
      </c>
      <c r="T2" s="9">
        <v>46143</v>
      </c>
      <c r="U2" s="9">
        <v>46174</v>
      </c>
      <c r="V2" s="9">
        <v>46204</v>
      </c>
      <c r="W2" s="9">
        <v>46235</v>
      </c>
      <c r="X2" s="9">
        <v>46266</v>
      </c>
      <c r="Y2" s="9">
        <v>46296</v>
      </c>
      <c r="Z2" s="9">
        <v>46327</v>
      </c>
      <c r="AA2" s="9">
        <v>46357</v>
      </c>
      <c r="AB2" s="54" t="s">
        <v>2</v>
      </c>
      <c r="AC2" s="9">
        <v>46388</v>
      </c>
      <c r="AD2" s="9">
        <v>46419</v>
      </c>
      <c r="AE2" s="9">
        <v>46447</v>
      </c>
      <c r="AF2" s="9">
        <v>46478</v>
      </c>
      <c r="AG2" s="9">
        <v>46508</v>
      </c>
      <c r="AH2" s="9">
        <v>46539</v>
      </c>
      <c r="AI2" s="9">
        <v>46569</v>
      </c>
      <c r="AJ2" s="9">
        <v>46600</v>
      </c>
      <c r="AK2" s="9">
        <v>46631</v>
      </c>
      <c r="AL2" s="9">
        <v>46661</v>
      </c>
      <c r="AM2" s="9">
        <v>46692</v>
      </c>
      <c r="AN2" s="9">
        <v>46722</v>
      </c>
      <c r="AO2" s="54" t="s">
        <v>3</v>
      </c>
    </row>
    <row r="3" spans="1:41" s="3" customFormat="1" x14ac:dyDescent="0.35">
      <c r="A3" s="3" t="s">
        <v>4</v>
      </c>
      <c r="B3" s="1" t="s">
        <v>5</v>
      </c>
      <c r="C3" s="3">
        <v>160</v>
      </c>
      <c r="D3" s="3">
        <v>230</v>
      </c>
      <c r="E3" s="3">
        <v>240</v>
      </c>
      <c r="F3" s="3">
        <v>280</v>
      </c>
      <c r="G3" s="3">
        <v>350</v>
      </c>
      <c r="H3" s="3">
        <v>350</v>
      </c>
      <c r="I3" s="3">
        <v>300</v>
      </c>
      <c r="J3" s="3">
        <v>300</v>
      </c>
      <c r="K3" s="3">
        <v>250</v>
      </c>
      <c r="L3" s="3">
        <v>250</v>
      </c>
      <c r="M3" s="3">
        <v>250</v>
      </c>
      <c r="N3" s="3">
        <v>200</v>
      </c>
      <c r="O3" s="12">
        <f>SUM(C3:N3)</f>
        <v>3160</v>
      </c>
      <c r="P3" s="95">
        <v>250</v>
      </c>
      <c r="Q3" s="95">
        <v>167</v>
      </c>
      <c r="R3" s="95">
        <v>200</v>
      </c>
      <c r="S3" s="95">
        <v>250</v>
      </c>
      <c r="T3" s="95">
        <v>300</v>
      </c>
      <c r="U3" s="95">
        <v>300</v>
      </c>
      <c r="V3" s="95">
        <v>300</v>
      </c>
      <c r="W3" s="95">
        <v>300</v>
      </c>
      <c r="X3" s="95">
        <v>300</v>
      </c>
      <c r="Y3" s="95">
        <v>250</v>
      </c>
      <c r="Z3" s="95">
        <v>250</v>
      </c>
      <c r="AA3" s="95">
        <v>250</v>
      </c>
      <c r="AB3" s="12">
        <f t="shared" ref="AB3:AB23" si="0">SUM(P3:AA3)</f>
        <v>3117</v>
      </c>
      <c r="AC3" s="85">
        <v>250</v>
      </c>
      <c r="AD3" s="85">
        <v>230</v>
      </c>
      <c r="AE3" s="85">
        <f>(R3*2%)+R3</f>
        <v>204</v>
      </c>
      <c r="AF3" s="85">
        <f t="shared" ref="AF3:AN18" si="1">(S3*2%)+S3</f>
        <v>255</v>
      </c>
      <c r="AG3" s="85">
        <f t="shared" si="1"/>
        <v>306</v>
      </c>
      <c r="AH3" s="85">
        <f t="shared" si="1"/>
        <v>306</v>
      </c>
      <c r="AI3" s="85">
        <f t="shared" si="1"/>
        <v>306</v>
      </c>
      <c r="AJ3" s="85">
        <f t="shared" si="1"/>
        <v>306</v>
      </c>
      <c r="AK3" s="85">
        <f t="shared" si="1"/>
        <v>306</v>
      </c>
      <c r="AL3" s="85">
        <f t="shared" si="1"/>
        <v>255</v>
      </c>
      <c r="AM3" s="85">
        <f t="shared" si="1"/>
        <v>255</v>
      </c>
      <c r="AN3" s="85">
        <f t="shared" si="1"/>
        <v>255</v>
      </c>
      <c r="AO3" s="12">
        <f>SUM(AC3:AN3)</f>
        <v>3234</v>
      </c>
    </row>
    <row r="4" spans="1:41" s="3" customFormat="1" x14ac:dyDescent="0.35">
      <c r="A4" s="3" t="s">
        <v>4</v>
      </c>
      <c r="B4" s="1" t="s">
        <v>6</v>
      </c>
      <c r="C4" s="3">
        <v>520</v>
      </c>
      <c r="D4" s="3">
        <v>670</v>
      </c>
      <c r="E4" s="3">
        <v>710</v>
      </c>
      <c r="F4" s="3">
        <v>620</v>
      </c>
      <c r="G4" s="3">
        <v>850</v>
      </c>
      <c r="H4" s="3">
        <v>900</v>
      </c>
      <c r="I4" s="3">
        <v>1000</v>
      </c>
      <c r="J4" s="3">
        <v>1000</v>
      </c>
      <c r="K4" s="3">
        <v>600</v>
      </c>
      <c r="L4" s="3">
        <v>1000</v>
      </c>
      <c r="M4" s="3">
        <v>676</v>
      </c>
      <c r="N4" s="3">
        <v>450</v>
      </c>
      <c r="O4" s="12">
        <f t="shared" ref="O4:O25" si="2">SUM(C4:N4)</f>
        <v>8996</v>
      </c>
      <c r="P4" s="95">
        <v>800</v>
      </c>
      <c r="Q4" s="95">
        <v>800</v>
      </c>
      <c r="R4" s="95">
        <v>600</v>
      </c>
      <c r="S4" s="95">
        <v>500</v>
      </c>
      <c r="T4" s="95">
        <v>500</v>
      </c>
      <c r="U4" s="95">
        <v>500</v>
      </c>
      <c r="V4" s="95">
        <v>500</v>
      </c>
      <c r="W4" s="95">
        <v>500</v>
      </c>
      <c r="X4" s="95">
        <v>500</v>
      </c>
      <c r="Y4" s="95">
        <v>500</v>
      </c>
      <c r="Z4" s="95">
        <v>400</v>
      </c>
      <c r="AA4" s="95">
        <v>430</v>
      </c>
      <c r="AB4" s="12">
        <f t="shared" si="0"/>
        <v>6530</v>
      </c>
      <c r="AC4" s="85">
        <v>800</v>
      </c>
      <c r="AD4" s="85">
        <v>800</v>
      </c>
      <c r="AE4" s="85">
        <f t="shared" ref="AE4:AE23" si="3">(R4*2%)+R4</f>
        <v>612</v>
      </c>
      <c r="AF4" s="85">
        <f t="shared" si="1"/>
        <v>510</v>
      </c>
      <c r="AG4" s="85">
        <f t="shared" si="1"/>
        <v>510</v>
      </c>
      <c r="AH4" s="85">
        <f t="shared" si="1"/>
        <v>510</v>
      </c>
      <c r="AI4" s="85">
        <f t="shared" si="1"/>
        <v>510</v>
      </c>
      <c r="AJ4" s="85">
        <f t="shared" si="1"/>
        <v>510</v>
      </c>
      <c r="AK4" s="85">
        <f t="shared" si="1"/>
        <v>510</v>
      </c>
      <c r="AL4" s="85">
        <f t="shared" si="1"/>
        <v>510</v>
      </c>
      <c r="AM4" s="85">
        <f t="shared" si="1"/>
        <v>408</v>
      </c>
      <c r="AN4" s="85">
        <f t="shared" si="1"/>
        <v>438.6</v>
      </c>
      <c r="AO4" s="12">
        <f t="shared" ref="AO4:AO31" si="4">SUM(AC4:AN4)</f>
        <v>6628.6</v>
      </c>
    </row>
    <row r="5" spans="1:41" s="3" customFormat="1" x14ac:dyDescent="0.35">
      <c r="A5" s="3" t="s">
        <v>4</v>
      </c>
      <c r="B5" s="1" t="s">
        <v>7</v>
      </c>
      <c r="C5" s="3">
        <v>320</v>
      </c>
      <c r="D5" s="3">
        <v>370</v>
      </c>
      <c r="E5" s="3">
        <v>390</v>
      </c>
      <c r="F5" s="3">
        <v>410</v>
      </c>
      <c r="G5" s="3">
        <v>500</v>
      </c>
      <c r="H5" s="3">
        <v>400</v>
      </c>
      <c r="I5" s="3">
        <v>500</v>
      </c>
      <c r="J5" s="3">
        <v>600</v>
      </c>
      <c r="K5" s="3">
        <v>300</v>
      </c>
      <c r="L5" s="3">
        <v>450</v>
      </c>
      <c r="M5" s="3">
        <v>350</v>
      </c>
      <c r="N5" s="3">
        <v>410</v>
      </c>
      <c r="O5" s="12">
        <f t="shared" si="2"/>
        <v>5000</v>
      </c>
      <c r="P5" s="95">
        <v>300</v>
      </c>
      <c r="Q5" s="95">
        <v>284</v>
      </c>
      <c r="R5" s="95">
        <v>400</v>
      </c>
      <c r="S5" s="95">
        <v>450</v>
      </c>
      <c r="T5" s="95">
        <v>450</v>
      </c>
      <c r="U5" s="95">
        <v>450</v>
      </c>
      <c r="V5" s="95">
        <v>500</v>
      </c>
      <c r="W5" s="95">
        <v>500</v>
      </c>
      <c r="X5" s="95">
        <v>500</v>
      </c>
      <c r="Y5" s="95">
        <v>450</v>
      </c>
      <c r="Z5" s="95">
        <v>450</v>
      </c>
      <c r="AA5" s="95">
        <v>350</v>
      </c>
      <c r="AB5" s="12">
        <f t="shared" si="0"/>
        <v>5084</v>
      </c>
      <c r="AC5" s="85">
        <v>400</v>
      </c>
      <c r="AD5" s="85">
        <v>400</v>
      </c>
      <c r="AE5" s="85">
        <f t="shared" si="3"/>
        <v>408</v>
      </c>
      <c r="AF5" s="85">
        <f t="shared" si="1"/>
        <v>459</v>
      </c>
      <c r="AG5" s="85">
        <f t="shared" si="1"/>
        <v>459</v>
      </c>
      <c r="AH5" s="85">
        <f t="shared" si="1"/>
        <v>459</v>
      </c>
      <c r="AI5" s="85">
        <f t="shared" si="1"/>
        <v>510</v>
      </c>
      <c r="AJ5" s="85">
        <f t="shared" si="1"/>
        <v>510</v>
      </c>
      <c r="AK5" s="85">
        <f t="shared" si="1"/>
        <v>510</v>
      </c>
      <c r="AL5" s="85">
        <f t="shared" si="1"/>
        <v>459</v>
      </c>
      <c r="AM5" s="85">
        <f t="shared" si="1"/>
        <v>459</v>
      </c>
      <c r="AN5" s="85">
        <f t="shared" si="1"/>
        <v>357</v>
      </c>
      <c r="AO5" s="12">
        <f t="shared" si="4"/>
        <v>5390</v>
      </c>
    </row>
    <row r="6" spans="1:41" x14ac:dyDescent="0.35">
      <c r="A6" s="3" t="s">
        <v>4</v>
      </c>
      <c r="B6" s="1" t="s">
        <v>8</v>
      </c>
      <c r="C6" s="50">
        <v>520</v>
      </c>
      <c r="D6" s="50">
        <v>670</v>
      </c>
      <c r="E6" s="50">
        <v>550</v>
      </c>
      <c r="F6" s="50">
        <v>550</v>
      </c>
      <c r="G6" s="50">
        <v>750</v>
      </c>
      <c r="H6" s="50">
        <v>750</v>
      </c>
      <c r="I6" s="50">
        <v>650</v>
      </c>
      <c r="J6" s="50">
        <v>650</v>
      </c>
      <c r="K6" s="50">
        <v>500</v>
      </c>
      <c r="L6" s="50">
        <v>500</v>
      </c>
      <c r="M6" s="50">
        <v>500</v>
      </c>
      <c r="N6" s="50">
        <v>450</v>
      </c>
      <c r="O6" s="55">
        <f t="shared" si="2"/>
        <v>7040</v>
      </c>
      <c r="P6" s="95">
        <v>480</v>
      </c>
      <c r="Q6" s="95">
        <v>480</v>
      </c>
      <c r="R6" s="95">
        <v>550</v>
      </c>
      <c r="S6" s="95">
        <v>450</v>
      </c>
      <c r="T6" s="95">
        <v>450</v>
      </c>
      <c r="U6" s="95">
        <v>450</v>
      </c>
      <c r="V6" s="95">
        <v>450</v>
      </c>
      <c r="W6" s="95">
        <v>450</v>
      </c>
      <c r="X6" s="95">
        <v>450</v>
      </c>
      <c r="Y6" s="95">
        <v>450</v>
      </c>
      <c r="Z6" s="95">
        <v>450</v>
      </c>
      <c r="AA6" s="95">
        <v>250</v>
      </c>
      <c r="AB6" s="12">
        <f t="shared" si="0"/>
        <v>5360</v>
      </c>
      <c r="AC6" s="85">
        <v>550</v>
      </c>
      <c r="AD6" s="85">
        <v>550</v>
      </c>
      <c r="AE6" s="85">
        <f t="shared" si="3"/>
        <v>561</v>
      </c>
      <c r="AF6" s="85">
        <f t="shared" si="1"/>
        <v>459</v>
      </c>
      <c r="AG6" s="85">
        <f t="shared" si="1"/>
        <v>459</v>
      </c>
      <c r="AH6" s="85">
        <f t="shared" si="1"/>
        <v>459</v>
      </c>
      <c r="AI6" s="85">
        <f t="shared" si="1"/>
        <v>459</v>
      </c>
      <c r="AJ6" s="85">
        <f t="shared" si="1"/>
        <v>459</v>
      </c>
      <c r="AK6" s="85">
        <f t="shared" si="1"/>
        <v>459</v>
      </c>
      <c r="AL6" s="85">
        <f t="shared" si="1"/>
        <v>459</v>
      </c>
      <c r="AM6" s="85">
        <f t="shared" si="1"/>
        <v>459</v>
      </c>
      <c r="AN6" s="85">
        <f t="shared" si="1"/>
        <v>255</v>
      </c>
      <c r="AO6" s="12">
        <f t="shared" si="4"/>
        <v>5588</v>
      </c>
    </row>
    <row r="7" spans="1:41" x14ac:dyDescent="0.35">
      <c r="A7" s="3" t="s">
        <v>4</v>
      </c>
      <c r="B7" s="1" t="s">
        <v>9</v>
      </c>
      <c r="C7" s="50">
        <v>2900</v>
      </c>
      <c r="D7" s="50">
        <v>3400</v>
      </c>
      <c r="E7" s="50">
        <v>3600</v>
      </c>
      <c r="F7" s="50">
        <v>3200</v>
      </c>
      <c r="G7" s="50">
        <v>4000</v>
      </c>
      <c r="H7" s="50">
        <v>4000</v>
      </c>
      <c r="I7" s="50">
        <v>3500</v>
      </c>
      <c r="J7" s="50">
        <v>3500</v>
      </c>
      <c r="K7" s="50">
        <v>4700</v>
      </c>
      <c r="L7" s="50">
        <v>4500</v>
      </c>
      <c r="M7" s="50">
        <v>0</v>
      </c>
      <c r="N7" s="50">
        <v>5000</v>
      </c>
      <c r="O7" s="55">
        <f t="shared" si="2"/>
        <v>42300</v>
      </c>
      <c r="P7" s="95">
        <v>2600</v>
      </c>
      <c r="Q7" s="95">
        <v>3000</v>
      </c>
      <c r="R7" s="95">
        <v>3500</v>
      </c>
      <c r="S7" s="95">
        <v>5000</v>
      </c>
      <c r="T7" s="95">
        <v>5000</v>
      </c>
      <c r="U7" s="95">
        <v>5000</v>
      </c>
      <c r="V7" s="95">
        <v>5500</v>
      </c>
      <c r="W7" s="95">
        <v>5000</v>
      </c>
      <c r="X7" s="95">
        <v>5000</v>
      </c>
      <c r="Y7" s="95">
        <v>4000</v>
      </c>
      <c r="Z7" s="95">
        <v>4000</v>
      </c>
      <c r="AA7" s="95">
        <v>3000</v>
      </c>
      <c r="AB7" s="12">
        <f t="shared" si="0"/>
        <v>50600</v>
      </c>
      <c r="AC7" s="85">
        <v>4000</v>
      </c>
      <c r="AD7" s="85">
        <v>4000</v>
      </c>
      <c r="AE7" s="85">
        <f t="shared" si="3"/>
        <v>3570</v>
      </c>
      <c r="AF7" s="85">
        <f t="shared" si="1"/>
        <v>5100</v>
      </c>
      <c r="AG7" s="85">
        <f t="shared" si="1"/>
        <v>5100</v>
      </c>
      <c r="AH7" s="85">
        <f t="shared" si="1"/>
        <v>5100</v>
      </c>
      <c r="AI7" s="85">
        <f t="shared" si="1"/>
        <v>5610</v>
      </c>
      <c r="AJ7" s="85">
        <f t="shared" si="1"/>
        <v>5100</v>
      </c>
      <c r="AK7" s="85">
        <f t="shared" si="1"/>
        <v>5100</v>
      </c>
      <c r="AL7" s="85">
        <f t="shared" si="1"/>
        <v>4080</v>
      </c>
      <c r="AM7" s="85">
        <f t="shared" si="1"/>
        <v>4080</v>
      </c>
      <c r="AN7" s="85">
        <f t="shared" si="1"/>
        <v>3060</v>
      </c>
      <c r="AO7" s="12">
        <f t="shared" si="4"/>
        <v>53900</v>
      </c>
    </row>
    <row r="8" spans="1:41" x14ac:dyDescent="0.35">
      <c r="A8" s="1" t="s">
        <v>10</v>
      </c>
      <c r="B8" s="1" t="s">
        <v>11</v>
      </c>
      <c r="C8" s="50">
        <v>110</v>
      </c>
      <c r="D8" s="50">
        <v>120</v>
      </c>
      <c r="E8" s="50">
        <v>120</v>
      </c>
      <c r="F8" s="50">
        <v>130</v>
      </c>
      <c r="G8" s="50">
        <v>160</v>
      </c>
      <c r="H8" s="50">
        <v>150</v>
      </c>
      <c r="I8" s="50">
        <v>150</v>
      </c>
      <c r="J8" s="50">
        <v>150</v>
      </c>
      <c r="K8" s="50">
        <v>121</v>
      </c>
      <c r="L8" s="50">
        <v>0</v>
      </c>
      <c r="M8" s="50">
        <v>164</v>
      </c>
      <c r="N8" s="50">
        <v>170</v>
      </c>
      <c r="O8" s="55">
        <f t="shared" si="2"/>
        <v>1545</v>
      </c>
      <c r="P8" s="95">
        <v>0</v>
      </c>
      <c r="Q8" s="95">
        <v>140</v>
      </c>
      <c r="R8" s="95">
        <v>125</v>
      </c>
      <c r="S8" s="95">
        <v>150</v>
      </c>
      <c r="T8" s="95">
        <v>150</v>
      </c>
      <c r="U8" s="95">
        <v>150</v>
      </c>
      <c r="V8" s="95">
        <v>125</v>
      </c>
      <c r="W8" s="95">
        <v>125</v>
      </c>
      <c r="X8" s="95">
        <v>125</v>
      </c>
      <c r="Y8" s="95">
        <v>125</v>
      </c>
      <c r="Z8" s="95">
        <v>125</v>
      </c>
      <c r="AA8" s="95">
        <v>100</v>
      </c>
      <c r="AB8" s="12">
        <f t="shared" si="0"/>
        <v>1440</v>
      </c>
      <c r="AC8" s="85">
        <v>125</v>
      </c>
      <c r="AD8" s="85">
        <v>140</v>
      </c>
      <c r="AE8" s="85">
        <f t="shared" si="3"/>
        <v>127.5</v>
      </c>
      <c r="AF8" s="85">
        <f t="shared" si="1"/>
        <v>153</v>
      </c>
      <c r="AG8" s="85">
        <f t="shared" si="1"/>
        <v>153</v>
      </c>
      <c r="AH8" s="85">
        <f t="shared" si="1"/>
        <v>153</v>
      </c>
      <c r="AI8" s="85">
        <f t="shared" si="1"/>
        <v>127.5</v>
      </c>
      <c r="AJ8" s="85">
        <f t="shared" si="1"/>
        <v>127.5</v>
      </c>
      <c r="AK8" s="85">
        <f t="shared" si="1"/>
        <v>127.5</v>
      </c>
      <c r="AL8" s="85">
        <f t="shared" si="1"/>
        <v>127.5</v>
      </c>
      <c r="AM8" s="85">
        <f t="shared" si="1"/>
        <v>127.5</v>
      </c>
      <c r="AN8" s="85">
        <f t="shared" si="1"/>
        <v>102</v>
      </c>
      <c r="AO8" s="12">
        <f t="shared" si="4"/>
        <v>1591</v>
      </c>
    </row>
    <row r="9" spans="1:41" x14ac:dyDescent="0.35">
      <c r="A9" s="1" t="s">
        <v>10</v>
      </c>
      <c r="B9" s="1" t="s">
        <v>12</v>
      </c>
      <c r="C9" s="50">
        <v>170</v>
      </c>
      <c r="D9" s="50">
        <v>230</v>
      </c>
      <c r="E9" s="50">
        <v>240</v>
      </c>
      <c r="F9" s="50">
        <v>220</v>
      </c>
      <c r="G9" s="50">
        <v>275</v>
      </c>
      <c r="H9" s="50">
        <v>260</v>
      </c>
      <c r="I9" s="50">
        <v>280</v>
      </c>
      <c r="J9" s="50">
        <v>250</v>
      </c>
      <c r="K9" s="50">
        <v>400</v>
      </c>
      <c r="L9" s="50">
        <v>300</v>
      </c>
      <c r="M9" s="50">
        <v>289</v>
      </c>
      <c r="N9" s="50">
        <v>200</v>
      </c>
      <c r="O9" s="55">
        <f t="shared" si="2"/>
        <v>3114</v>
      </c>
      <c r="P9" s="95">
        <v>93</v>
      </c>
      <c r="Q9" s="95">
        <v>100</v>
      </c>
      <c r="R9" s="95">
        <v>200</v>
      </c>
      <c r="S9" s="95">
        <v>250</v>
      </c>
      <c r="T9" s="95">
        <v>250</v>
      </c>
      <c r="U9" s="95">
        <v>250</v>
      </c>
      <c r="V9" s="95">
        <v>200</v>
      </c>
      <c r="W9" s="95">
        <v>200</v>
      </c>
      <c r="X9" s="95">
        <v>200</v>
      </c>
      <c r="Y9" s="95">
        <v>200</v>
      </c>
      <c r="Z9" s="95">
        <v>200</v>
      </c>
      <c r="AA9" s="95">
        <v>150</v>
      </c>
      <c r="AB9" s="12">
        <f t="shared" si="0"/>
        <v>2293</v>
      </c>
      <c r="AC9" s="85">
        <v>250</v>
      </c>
      <c r="AD9" s="85">
        <v>200</v>
      </c>
      <c r="AE9" s="85">
        <f t="shared" si="3"/>
        <v>204</v>
      </c>
      <c r="AF9" s="85">
        <f t="shared" si="1"/>
        <v>255</v>
      </c>
      <c r="AG9" s="85">
        <f t="shared" si="1"/>
        <v>255</v>
      </c>
      <c r="AH9" s="85">
        <f t="shared" si="1"/>
        <v>255</v>
      </c>
      <c r="AI9" s="85">
        <f t="shared" si="1"/>
        <v>204</v>
      </c>
      <c r="AJ9" s="85">
        <f t="shared" si="1"/>
        <v>204</v>
      </c>
      <c r="AK9" s="85">
        <f t="shared" si="1"/>
        <v>204</v>
      </c>
      <c r="AL9" s="85">
        <f t="shared" si="1"/>
        <v>204</v>
      </c>
      <c r="AM9" s="85">
        <f t="shared" si="1"/>
        <v>204</v>
      </c>
      <c r="AN9" s="85">
        <f t="shared" si="1"/>
        <v>153</v>
      </c>
      <c r="AO9" s="12">
        <f t="shared" si="4"/>
        <v>2592</v>
      </c>
    </row>
    <row r="10" spans="1:41" x14ac:dyDescent="0.35">
      <c r="A10" s="1" t="s">
        <v>10</v>
      </c>
      <c r="B10" s="1" t="s">
        <v>13</v>
      </c>
      <c r="C10" s="50">
        <v>130</v>
      </c>
      <c r="D10" s="50">
        <v>150</v>
      </c>
      <c r="E10" s="50">
        <v>160</v>
      </c>
      <c r="F10" s="50">
        <v>200</v>
      </c>
      <c r="G10" s="50">
        <v>240</v>
      </c>
      <c r="H10" s="50">
        <v>230</v>
      </c>
      <c r="I10" s="50">
        <v>240</v>
      </c>
      <c r="J10" s="50">
        <v>250</v>
      </c>
      <c r="K10" s="50">
        <v>250</v>
      </c>
      <c r="L10" s="50">
        <v>200</v>
      </c>
      <c r="M10" s="50">
        <v>200</v>
      </c>
      <c r="N10" s="50">
        <v>200</v>
      </c>
      <c r="O10" s="55">
        <f t="shared" si="2"/>
        <v>2450</v>
      </c>
      <c r="P10" s="95">
        <v>100</v>
      </c>
      <c r="Q10" s="95">
        <v>175</v>
      </c>
      <c r="R10" s="95">
        <v>175</v>
      </c>
      <c r="S10" s="95">
        <v>175</v>
      </c>
      <c r="T10" s="95">
        <v>175</v>
      </c>
      <c r="U10" s="95">
        <v>200</v>
      </c>
      <c r="V10" s="95">
        <v>200</v>
      </c>
      <c r="W10" s="95">
        <v>200</v>
      </c>
      <c r="X10" s="95">
        <v>200</v>
      </c>
      <c r="Y10" s="95">
        <v>175</v>
      </c>
      <c r="Z10" s="95">
        <v>150</v>
      </c>
      <c r="AA10" s="95">
        <v>150</v>
      </c>
      <c r="AB10" s="12">
        <f t="shared" si="0"/>
        <v>2075</v>
      </c>
      <c r="AC10" s="85">
        <v>175</v>
      </c>
      <c r="AD10" s="85">
        <v>175</v>
      </c>
      <c r="AE10" s="85">
        <f t="shared" si="3"/>
        <v>178.5</v>
      </c>
      <c r="AF10" s="85">
        <f t="shared" si="1"/>
        <v>178.5</v>
      </c>
      <c r="AG10" s="85">
        <f t="shared" si="1"/>
        <v>178.5</v>
      </c>
      <c r="AH10" s="85">
        <f t="shared" si="1"/>
        <v>204</v>
      </c>
      <c r="AI10" s="85">
        <f t="shared" si="1"/>
        <v>204</v>
      </c>
      <c r="AJ10" s="85">
        <f t="shared" si="1"/>
        <v>204</v>
      </c>
      <c r="AK10" s="85">
        <f t="shared" si="1"/>
        <v>204</v>
      </c>
      <c r="AL10" s="85">
        <f t="shared" si="1"/>
        <v>178.5</v>
      </c>
      <c r="AM10" s="85">
        <f t="shared" si="1"/>
        <v>153</v>
      </c>
      <c r="AN10" s="85">
        <f t="shared" si="1"/>
        <v>153</v>
      </c>
      <c r="AO10" s="12">
        <f t="shared" si="4"/>
        <v>2186</v>
      </c>
    </row>
    <row r="11" spans="1:41" x14ac:dyDescent="0.35">
      <c r="A11" s="1" t="s">
        <v>10</v>
      </c>
      <c r="B11" s="1" t="s">
        <v>14</v>
      </c>
      <c r="C11" s="50">
        <v>2300</v>
      </c>
      <c r="D11" s="50">
        <v>2500</v>
      </c>
      <c r="E11" s="50">
        <v>2700</v>
      </c>
      <c r="F11" s="50">
        <v>2400</v>
      </c>
      <c r="G11" s="50">
        <v>3250</v>
      </c>
      <c r="H11" s="50">
        <v>3000</v>
      </c>
      <c r="I11" s="50">
        <v>3500</v>
      </c>
      <c r="J11" s="50">
        <v>4000</v>
      </c>
      <c r="K11" s="50">
        <v>1500</v>
      </c>
      <c r="L11" s="50">
        <v>3500</v>
      </c>
      <c r="M11" s="50">
        <v>5000</v>
      </c>
      <c r="N11" s="50">
        <v>1270</v>
      </c>
      <c r="O11" s="55">
        <f t="shared" si="2"/>
        <v>34920</v>
      </c>
      <c r="P11" s="95">
        <v>5500</v>
      </c>
      <c r="Q11" s="95">
        <v>5000</v>
      </c>
      <c r="R11" s="95">
        <v>5000</v>
      </c>
      <c r="S11" s="95">
        <v>4500</v>
      </c>
      <c r="T11" s="95">
        <v>4500</v>
      </c>
      <c r="U11" s="95">
        <v>4500</v>
      </c>
      <c r="V11" s="95">
        <v>5000</v>
      </c>
      <c r="W11" s="95">
        <v>5000</v>
      </c>
      <c r="X11" s="95">
        <v>3500</v>
      </c>
      <c r="Y11" s="95">
        <v>3500</v>
      </c>
      <c r="Z11" s="95">
        <v>3500</v>
      </c>
      <c r="AA11" s="95">
        <v>3000</v>
      </c>
      <c r="AB11" s="12">
        <f t="shared" si="0"/>
        <v>52500</v>
      </c>
      <c r="AC11" s="85">
        <v>5500</v>
      </c>
      <c r="AD11" s="85">
        <v>5000</v>
      </c>
      <c r="AE11" s="85">
        <f t="shared" si="3"/>
        <v>5100</v>
      </c>
      <c r="AF11" s="85">
        <f t="shared" si="1"/>
        <v>4590</v>
      </c>
      <c r="AG11" s="85">
        <f t="shared" si="1"/>
        <v>4590</v>
      </c>
      <c r="AH11" s="85">
        <f t="shared" si="1"/>
        <v>4590</v>
      </c>
      <c r="AI11" s="85">
        <f t="shared" si="1"/>
        <v>5100</v>
      </c>
      <c r="AJ11" s="85">
        <f t="shared" si="1"/>
        <v>5100</v>
      </c>
      <c r="AK11" s="85">
        <f t="shared" si="1"/>
        <v>3570</v>
      </c>
      <c r="AL11" s="85">
        <f t="shared" si="1"/>
        <v>3570</v>
      </c>
      <c r="AM11" s="85">
        <f t="shared" si="1"/>
        <v>3570</v>
      </c>
      <c r="AN11" s="85">
        <f t="shared" si="1"/>
        <v>3060</v>
      </c>
      <c r="AO11" s="12">
        <f t="shared" si="4"/>
        <v>53340</v>
      </c>
    </row>
    <row r="12" spans="1:41" x14ac:dyDescent="0.35">
      <c r="A12" s="1" t="s">
        <v>10</v>
      </c>
      <c r="B12" s="1" t="s">
        <v>15</v>
      </c>
      <c r="C12" s="50">
        <v>180</v>
      </c>
      <c r="D12" s="50">
        <v>180</v>
      </c>
      <c r="E12" s="50">
        <v>190</v>
      </c>
      <c r="F12" s="50">
        <v>250</v>
      </c>
      <c r="G12" s="50">
        <v>320</v>
      </c>
      <c r="H12" s="50">
        <v>300</v>
      </c>
      <c r="I12" s="50">
        <v>300</v>
      </c>
      <c r="J12" s="50">
        <v>300</v>
      </c>
      <c r="K12" s="50">
        <v>300</v>
      </c>
      <c r="L12" s="50">
        <v>300</v>
      </c>
      <c r="M12" s="50">
        <v>300</v>
      </c>
      <c r="N12" s="50">
        <v>250</v>
      </c>
      <c r="O12" s="55">
        <f>SUM(C12:N12)</f>
        <v>3170</v>
      </c>
      <c r="P12" s="95">
        <v>150</v>
      </c>
      <c r="Q12" s="95">
        <v>200</v>
      </c>
      <c r="R12" s="95">
        <v>200</v>
      </c>
      <c r="S12" s="95">
        <v>300</v>
      </c>
      <c r="T12" s="95">
        <v>250</v>
      </c>
      <c r="U12" s="95">
        <v>250</v>
      </c>
      <c r="V12" s="95">
        <v>250</v>
      </c>
      <c r="W12" s="95">
        <v>250</v>
      </c>
      <c r="X12" s="95">
        <v>250</v>
      </c>
      <c r="Y12" s="95">
        <v>200</v>
      </c>
      <c r="Z12" s="95">
        <v>200</v>
      </c>
      <c r="AA12" s="95">
        <v>200</v>
      </c>
      <c r="AB12" s="12">
        <f t="shared" si="0"/>
        <v>2700</v>
      </c>
      <c r="AC12" s="85">
        <v>200</v>
      </c>
      <c r="AD12" s="85">
        <v>200</v>
      </c>
      <c r="AE12" s="85">
        <f t="shared" si="3"/>
        <v>204</v>
      </c>
      <c r="AF12" s="85">
        <f t="shared" si="1"/>
        <v>306</v>
      </c>
      <c r="AG12" s="85">
        <f t="shared" si="1"/>
        <v>255</v>
      </c>
      <c r="AH12" s="85">
        <f t="shared" si="1"/>
        <v>255</v>
      </c>
      <c r="AI12" s="85">
        <f t="shared" si="1"/>
        <v>255</v>
      </c>
      <c r="AJ12" s="85">
        <f t="shared" si="1"/>
        <v>255</v>
      </c>
      <c r="AK12" s="85">
        <f t="shared" si="1"/>
        <v>255</v>
      </c>
      <c r="AL12" s="85">
        <f t="shared" si="1"/>
        <v>204</v>
      </c>
      <c r="AM12" s="85">
        <f t="shared" si="1"/>
        <v>204</v>
      </c>
      <c r="AN12" s="85">
        <f t="shared" si="1"/>
        <v>204</v>
      </c>
      <c r="AO12" s="12">
        <f t="shared" si="4"/>
        <v>2797</v>
      </c>
    </row>
    <row r="13" spans="1:41" s="2" customFormat="1" x14ac:dyDescent="0.35">
      <c r="A13" s="1" t="s">
        <v>16</v>
      </c>
      <c r="B13" s="144" t="s">
        <v>17</v>
      </c>
      <c r="C13" s="10">
        <v>20</v>
      </c>
      <c r="D13" s="10">
        <v>10</v>
      </c>
      <c r="E13" s="10">
        <v>10</v>
      </c>
      <c r="F13" s="10">
        <v>20</v>
      </c>
      <c r="G13" s="10">
        <v>10</v>
      </c>
      <c r="H13" s="10">
        <v>10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 t="s">
        <v>18</v>
      </c>
      <c r="O13" s="55">
        <f t="shared" si="2"/>
        <v>80</v>
      </c>
      <c r="P13" s="96" t="s">
        <v>19</v>
      </c>
      <c r="Q13" s="96" t="s">
        <v>19</v>
      </c>
      <c r="R13" s="96" t="s">
        <v>20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Z13" s="96">
        <v>0</v>
      </c>
      <c r="AA13" s="96">
        <v>0</v>
      </c>
      <c r="AB13" s="12">
        <f t="shared" si="0"/>
        <v>0</v>
      </c>
      <c r="AC13" s="86">
        <v>0</v>
      </c>
      <c r="AD13" s="86">
        <v>0</v>
      </c>
      <c r="AE13" s="85">
        <v>0</v>
      </c>
      <c r="AF13" s="85">
        <f t="shared" si="1"/>
        <v>0</v>
      </c>
      <c r="AG13" s="85">
        <f t="shared" si="1"/>
        <v>0</v>
      </c>
      <c r="AH13" s="85">
        <f t="shared" si="1"/>
        <v>0</v>
      </c>
      <c r="AI13" s="85">
        <f t="shared" si="1"/>
        <v>0</v>
      </c>
      <c r="AJ13" s="85">
        <f t="shared" si="1"/>
        <v>0</v>
      </c>
      <c r="AK13" s="85">
        <f t="shared" si="1"/>
        <v>0</v>
      </c>
      <c r="AL13" s="85">
        <f t="shared" si="1"/>
        <v>0</v>
      </c>
      <c r="AM13" s="85">
        <f t="shared" si="1"/>
        <v>0</v>
      </c>
      <c r="AN13" s="85">
        <f t="shared" si="1"/>
        <v>0</v>
      </c>
      <c r="AO13" s="12">
        <f t="shared" si="4"/>
        <v>0</v>
      </c>
    </row>
    <row r="14" spans="1:41" x14ac:dyDescent="0.35">
      <c r="A14" s="1" t="s">
        <v>16</v>
      </c>
      <c r="B14" s="1" t="s">
        <v>21</v>
      </c>
      <c r="C14" s="50">
        <v>30</v>
      </c>
      <c r="D14" s="50">
        <v>40</v>
      </c>
      <c r="E14" s="50">
        <v>40</v>
      </c>
      <c r="F14" s="50">
        <v>40</v>
      </c>
      <c r="G14" s="50">
        <v>50</v>
      </c>
      <c r="H14" s="50">
        <v>40</v>
      </c>
      <c r="I14" s="50">
        <v>40</v>
      </c>
      <c r="J14" s="50">
        <v>40</v>
      </c>
      <c r="K14" s="50">
        <v>0</v>
      </c>
      <c r="L14" s="50">
        <v>100</v>
      </c>
      <c r="M14" s="50">
        <v>50</v>
      </c>
      <c r="N14" s="50" t="s">
        <v>18</v>
      </c>
      <c r="O14" s="55">
        <f t="shared" si="2"/>
        <v>470</v>
      </c>
      <c r="P14" s="95">
        <v>75</v>
      </c>
      <c r="Q14" s="95">
        <v>75</v>
      </c>
      <c r="R14" s="95">
        <v>30</v>
      </c>
      <c r="S14" s="95">
        <v>30</v>
      </c>
      <c r="T14" s="95">
        <v>60</v>
      </c>
      <c r="U14" s="95">
        <v>60</v>
      </c>
      <c r="V14" s="95">
        <v>60</v>
      </c>
      <c r="W14" s="95">
        <v>60</v>
      </c>
      <c r="X14" s="95">
        <v>60</v>
      </c>
      <c r="Y14" s="95">
        <v>60</v>
      </c>
      <c r="Z14" s="95">
        <v>60</v>
      </c>
      <c r="AA14" s="95">
        <v>30</v>
      </c>
      <c r="AB14" s="12">
        <f t="shared" si="0"/>
        <v>660</v>
      </c>
      <c r="AC14" s="85">
        <v>150</v>
      </c>
      <c r="AD14" s="85">
        <v>75</v>
      </c>
      <c r="AE14" s="85">
        <f t="shared" si="3"/>
        <v>30.6</v>
      </c>
      <c r="AF14" s="85">
        <f t="shared" si="1"/>
        <v>30.6</v>
      </c>
      <c r="AG14" s="85">
        <f t="shared" si="1"/>
        <v>61.2</v>
      </c>
      <c r="AH14" s="85">
        <f t="shared" si="1"/>
        <v>61.2</v>
      </c>
      <c r="AI14" s="85">
        <f t="shared" si="1"/>
        <v>61.2</v>
      </c>
      <c r="AJ14" s="85">
        <f t="shared" si="1"/>
        <v>61.2</v>
      </c>
      <c r="AK14" s="85">
        <f t="shared" si="1"/>
        <v>61.2</v>
      </c>
      <c r="AL14" s="85">
        <f t="shared" si="1"/>
        <v>61.2</v>
      </c>
      <c r="AM14" s="85">
        <f t="shared" si="1"/>
        <v>61.2</v>
      </c>
      <c r="AN14" s="85">
        <f t="shared" si="1"/>
        <v>30.6</v>
      </c>
      <c r="AO14" s="12">
        <f t="shared" si="4"/>
        <v>745.20000000000016</v>
      </c>
    </row>
    <row r="15" spans="1:41" s="2" customFormat="1" x14ac:dyDescent="0.35">
      <c r="A15" s="1" t="s">
        <v>16</v>
      </c>
      <c r="B15" s="144" t="s">
        <v>22</v>
      </c>
      <c r="C15" s="10">
        <v>10</v>
      </c>
      <c r="D15" s="10">
        <v>10</v>
      </c>
      <c r="E15" s="10">
        <v>10</v>
      </c>
      <c r="F15" s="10">
        <v>10</v>
      </c>
      <c r="G15" s="10">
        <v>5</v>
      </c>
      <c r="H15" s="10">
        <v>5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 t="s">
        <v>18</v>
      </c>
      <c r="O15" s="55">
        <f t="shared" si="2"/>
        <v>50</v>
      </c>
      <c r="P15" s="96" t="s">
        <v>19</v>
      </c>
      <c r="Q15" s="96" t="s">
        <v>19</v>
      </c>
      <c r="R15" s="96" t="s">
        <v>20</v>
      </c>
      <c r="S15" s="96">
        <v>0</v>
      </c>
      <c r="T15" s="96">
        <v>0</v>
      </c>
      <c r="U15" s="96">
        <v>0</v>
      </c>
      <c r="V15" s="96">
        <v>0</v>
      </c>
      <c r="W15" s="96">
        <v>0</v>
      </c>
      <c r="X15" s="96">
        <v>0</v>
      </c>
      <c r="Y15" s="96">
        <v>0</v>
      </c>
      <c r="Z15" s="96">
        <v>0</v>
      </c>
      <c r="AA15" s="96">
        <v>0</v>
      </c>
      <c r="AB15" s="12">
        <f t="shared" si="0"/>
        <v>0</v>
      </c>
      <c r="AC15" s="86">
        <v>0</v>
      </c>
      <c r="AD15" s="86">
        <v>0</v>
      </c>
      <c r="AE15" s="85">
        <v>0</v>
      </c>
      <c r="AF15" s="85">
        <f t="shared" si="1"/>
        <v>0</v>
      </c>
      <c r="AG15" s="85">
        <f t="shared" si="1"/>
        <v>0</v>
      </c>
      <c r="AH15" s="85">
        <f t="shared" si="1"/>
        <v>0</v>
      </c>
      <c r="AI15" s="85">
        <f t="shared" si="1"/>
        <v>0</v>
      </c>
      <c r="AJ15" s="85">
        <f t="shared" si="1"/>
        <v>0</v>
      </c>
      <c r="AK15" s="85">
        <f t="shared" si="1"/>
        <v>0</v>
      </c>
      <c r="AL15" s="85">
        <f t="shared" si="1"/>
        <v>0</v>
      </c>
      <c r="AM15" s="85">
        <f t="shared" si="1"/>
        <v>0</v>
      </c>
      <c r="AN15" s="85">
        <f t="shared" si="1"/>
        <v>0</v>
      </c>
      <c r="AO15" s="12">
        <f t="shared" si="4"/>
        <v>0</v>
      </c>
    </row>
    <row r="16" spans="1:41" x14ac:dyDescent="0.35">
      <c r="A16" s="1" t="s">
        <v>16</v>
      </c>
      <c r="B16" s="1" t="s">
        <v>23</v>
      </c>
      <c r="C16" s="50">
        <v>130</v>
      </c>
      <c r="D16" s="50">
        <v>190</v>
      </c>
      <c r="E16" s="50">
        <v>180</v>
      </c>
      <c r="F16" s="50">
        <v>180</v>
      </c>
      <c r="G16" s="50">
        <v>220</v>
      </c>
      <c r="H16" s="50">
        <v>200</v>
      </c>
      <c r="I16" s="50">
        <v>200</v>
      </c>
      <c r="J16" s="50">
        <v>200</v>
      </c>
      <c r="K16" s="50">
        <v>200</v>
      </c>
      <c r="L16" s="50">
        <v>200</v>
      </c>
      <c r="M16" s="50">
        <v>200</v>
      </c>
      <c r="N16" s="50">
        <v>250</v>
      </c>
      <c r="O16" s="55">
        <f t="shared" si="2"/>
        <v>2350</v>
      </c>
      <c r="P16" s="95">
        <v>158</v>
      </c>
      <c r="Q16" s="95">
        <v>100</v>
      </c>
      <c r="R16" s="95">
        <v>230</v>
      </c>
      <c r="S16" s="95">
        <v>243</v>
      </c>
      <c r="T16" s="95">
        <v>139</v>
      </c>
      <c r="U16" s="95">
        <v>270</v>
      </c>
      <c r="V16" s="95">
        <v>270</v>
      </c>
      <c r="W16" s="95">
        <v>270</v>
      </c>
      <c r="X16" s="95">
        <v>250</v>
      </c>
      <c r="Y16" s="95">
        <v>250</v>
      </c>
      <c r="Z16" s="95">
        <v>200</v>
      </c>
      <c r="AA16" s="95">
        <v>200</v>
      </c>
      <c r="AB16" s="12">
        <f t="shared" si="0"/>
        <v>2580</v>
      </c>
      <c r="AC16" s="85">
        <v>230</v>
      </c>
      <c r="AD16" s="85">
        <v>230</v>
      </c>
      <c r="AE16" s="85">
        <f t="shared" si="3"/>
        <v>234.6</v>
      </c>
      <c r="AF16" s="85">
        <f t="shared" si="1"/>
        <v>247.86</v>
      </c>
      <c r="AG16" s="85">
        <f t="shared" si="1"/>
        <v>141.78</v>
      </c>
      <c r="AH16" s="85">
        <f t="shared" si="1"/>
        <v>275.39999999999998</v>
      </c>
      <c r="AI16" s="85">
        <f t="shared" si="1"/>
        <v>275.39999999999998</v>
      </c>
      <c r="AJ16" s="85">
        <f t="shared" si="1"/>
        <v>275.39999999999998</v>
      </c>
      <c r="AK16" s="85">
        <f t="shared" si="1"/>
        <v>255</v>
      </c>
      <c r="AL16" s="85">
        <f t="shared" si="1"/>
        <v>255</v>
      </c>
      <c r="AM16" s="85">
        <f t="shared" si="1"/>
        <v>204</v>
      </c>
      <c r="AN16" s="85">
        <f t="shared" si="1"/>
        <v>204</v>
      </c>
      <c r="AO16" s="12">
        <f t="shared" si="4"/>
        <v>2828.44</v>
      </c>
    </row>
    <row r="17" spans="1:41" x14ac:dyDescent="0.35">
      <c r="A17" s="1" t="s">
        <v>16</v>
      </c>
      <c r="B17" s="1" t="s">
        <v>24</v>
      </c>
      <c r="C17" s="50">
        <v>210</v>
      </c>
      <c r="D17" s="50">
        <v>340</v>
      </c>
      <c r="E17" s="50">
        <v>320</v>
      </c>
      <c r="F17" s="50">
        <v>310</v>
      </c>
      <c r="G17" s="50">
        <v>375</v>
      </c>
      <c r="H17" s="50">
        <v>360</v>
      </c>
      <c r="I17" s="50">
        <v>450</v>
      </c>
      <c r="J17" s="50">
        <v>450</v>
      </c>
      <c r="K17" s="50">
        <v>151</v>
      </c>
      <c r="L17" s="50">
        <v>400</v>
      </c>
      <c r="M17" s="50">
        <v>300</v>
      </c>
      <c r="N17" s="50">
        <v>250</v>
      </c>
      <c r="O17" s="55">
        <f t="shared" si="2"/>
        <v>3916</v>
      </c>
      <c r="P17" s="95">
        <v>393</v>
      </c>
      <c r="Q17" s="95">
        <v>92</v>
      </c>
      <c r="R17" s="95">
        <v>360</v>
      </c>
      <c r="S17" s="95">
        <v>450</v>
      </c>
      <c r="T17" s="95">
        <v>450</v>
      </c>
      <c r="U17" s="95">
        <v>450</v>
      </c>
      <c r="V17" s="95">
        <v>400</v>
      </c>
      <c r="W17" s="95">
        <v>400</v>
      </c>
      <c r="X17" s="95">
        <v>400</v>
      </c>
      <c r="Y17" s="95">
        <v>350</v>
      </c>
      <c r="Z17" s="95">
        <v>300</v>
      </c>
      <c r="AA17" s="95">
        <v>250</v>
      </c>
      <c r="AB17" s="12">
        <f t="shared" si="0"/>
        <v>4295</v>
      </c>
      <c r="AC17" s="85">
        <v>400</v>
      </c>
      <c r="AD17" s="85">
        <v>400</v>
      </c>
      <c r="AE17" s="85">
        <f t="shared" si="3"/>
        <v>367.2</v>
      </c>
      <c r="AF17" s="85">
        <f t="shared" si="1"/>
        <v>459</v>
      </c>
      <c r="AG17" s="85">
        <f t="shared" si="1"/>
        <v>459</v>
      </c>
      <c r="AH17" s="85">
        <f t="shared" si="1"/>
        <v>459</v>
      </c>
      <c r="AI17" s="85">
        <f t="shared" si="1"/>
        <v>408</v>
      </c>
      <c r="AJ17" s="85">
        <f t="shared" si="1"/>
        <v>408</v>
      </c>
      <c r="AK17" s="85">
        <f t="shared" si="1"/>
        <v>408</v>
      </c>
      <c r="AL17" s="85">
        <f t="shared" si="1"/>
        <v>357</v>
      </c>
      <c r="AM17" s="85">
        <f t="shared" si="1"/>
        <v>306</v>
      </c>
      <c r="AN17" s="85">
        <f t="shared" si="1"/>
        <v>255</v>
      </c>
      <c r="AO17" s="12">
        <f t="shared" si="4"/>
        <v>4686.2</v>
      </c>
    </row>
    <row r="18" spans="1:41" x14ac:dyDescent="0.35">
      <c r="A18" s="1" t="s">
        <v>16</v>
      </c>
      <c r="B18" s="1" t="s">
        <v>25</v>
      </c>
      <c r="C18" s="50">
        <v>100</v>
      </c>
      <c r="D18" s="50">
        <v>80</v>
      </c>
      <c r="E18" s="50">
        <v>80</v>
      </c>
      <c r="F18" s="50">
        <v>70</v>
      </c>
      <c r="G18" s="50">
        <v>100</v>
      </c>
      <c r="H18" s="50">
        <v>100</v>
      </c>
      <c r="I18" s="50">
        <v>90</v>
      </c>
      <c r="J18" s="50">
        <v>90</v>
      </c>
      <c r="K18" s="50">
        <v>120</v>
      </c>
      <c r="L18" s="50">
        <v>80</v>
      </c>
      <c r="M18" s="50">
        <v>80</v>
      </c>
      <c r="N18" s="50">
        <v>80</v>
      </c>
      <c r="O18" s="55">
        <f t="shared" si="2"/>
        <v>1070</v>
      </c>
      <c r="P18" s="154">
        <v>155</v>
      </c>
      <c r="Q18" s="154">
        <v>25</v>
      </c>
      <c r="R18" s="95">
        <v>25</v>
      </c>
      <c r="S18" s="95">
        <v>75</v>
      </c>
      <c r="T18" s="95">
        <v>100</v>
      </c>
      <c r="U18" s="95">
        <v>100</v>
      </c>
      <c r="V18" s="95">
        <v>100</v>
      </c>
      <c r="W18" s="95">
        <v>100</v>
      </c>
      <c r="X18" s="95">
        <v>75</v>
      </c>
      <c r="Y18" s="95">
        <v>75</v>
      </c>
      <c r="Z18" s="95">
        <v>75</v>
      </c>
      <c r="AA18" s="95">
        <v>75</v>
      </c>
      <c r="AB18" s="12">
        <f t="shared" si="0"/>
        <v>980</v>
      </c>
      <c r="AC18" s="85">
        <v>200</v>
      </c>
      <c r="AD18" s="85">
        <v>150</v>
      </c>
      <c r="AE18" s="85">
        <f t="shared" si="3"/>
        <v>25.5</v>
      </c>
      <c r="AF18" s="85">
        <f t="shared" si="1"/>
        <v>76.5</v>
      </c>
      <c r="AG18" s="85">
        <f t="shared" si="1"/>
        <v>102</v>
      </c>
      <c r="AH18" s="85">
        <f t="shared" si="1"/>
        <v>102</v>
      </c>
      <c r="AI18" s="85">
        <f t="shared" si="1"/>
        <v>102</v>
      </c>
      <c r="AJ18" s="85">
        <f t="shared" si="1"/>
        <v>102</v>
      </c>
      <c r="AK18" s="85">
        <f t="shared" si="1"/>
        <v>76.5</v>
      </c>
      <c r="AL18" s="85">
        <f t="shared" si="1"/>
        <v>76.5</v>
      </c>
      <c r="AM18" s="85">
        <f t="shared" si="1"/>
        <v>76.5</v>
      </c>
      <c r="AN18" s="85">
        <f t="shared" si="1"/>
        <v>76.5</v>
      </c>
      <c r="AO18" s="12">
        <f t="shared" si="4"/>
        <v>1166</v>
      </c>
    </row>
    <row r="19" spans="1:41" x14ac:dyDescent="0.35">
      <c r="A19" s="1" t="s">
        <v>16</v>
      </c>
      <c r="B19" s="1" t="s">
        <v>26</v>
      </c>
      <c r="C19" s="50">
        <v>10</v>
      </c>
      <c r="D19" s="50">
        <v>10</v>
      </c>
      <c r="E19" s="50">
        <v>10</v>
      </c>
      <c r="F19" s="50">
        <v>10</v>
      </c>
      <c r="G19" s="50">
        <v>15</v>
      </c>
      <c r="H19" s="50">
        <v>10</v>
      </c>
      <c r="I19" s="50">
        <v>0</v>
      </c>
      <c r="J19" s="50">
        <v>0</v>
      </c>
      <c r="K19" s="50">
        <v>20</v>
      </c>
      <c r="L19" s="50">
        <v>15</v>
      </c>
      <c r="M19" s="50">
        <v>15</v>
      </c>
      <c r="N19" s="50">
        <v>25</v>
      </c>
      <c r="O19" s="55">
        <f t="shared" si="2"/>
        <v>140</v>
      </c>
      <c r="P19" s="95">
        <v>20</v>
      </c>
      <c r="Q19" s="95">
        <v>20</v>
      </c>
      <c r="R19" s="95">
        <v>7</v>
      </c>
      <c r="S19" s="95">
        <v>50</v>
      </c>
      <c r="T19" s="95">
        <v>50</v>
      </c>
      <c r="U19" s="95">
        <v>40</v>
      </c>
      <c r="V19" s="95">
        <v>40</v>
      </c>
      <c r="W19" s="95">
        <v>40</v>
      </c>
      <c r="X19" s="95">
        <v>40</v>
      </c>
      <c r="Y19" s="95">
        <v>30</v>
      </c>
      <c r="Z19" s="95">
        <v>30</v>
      </c>
      <c r="AA19" s="95">
        <v>20</v>
      </c>
      <c r="AB19" s="12">
        <f t="shared" si="0"/>
        <v>387</v>
      </c>
      <c r="AC19" s="85">
        <v>20</v>
      </c>
      <c r="AD19" s="85">
        <v>20</v>
      </c>
      <c r="AE19" s="85">
        <f t="shared" si="3"/>
        <v>7.14</v>
      </c>
      <c r="AF19" s="85">
        <f t="shared" ref="AF19:AF23" si="5">(S19*2%)+S19</f>
        <v>51</v>
      </c>
      <c r="AG19" s="85">
        <f t="shared" ref="AG19:AG23" si="6">(T19*2%)+T19</f>
        <v>51</v>
      </c>
      <c r="AH19" s="85">
        <f t="shared" ref="AH19:AH23" si="7">(U19*2%)+U19</f>
        <v>40.799999999999997</v>
      </c>
      <c r="AI19" s="85">
        <f t="shared" ref="AI19:AI23" si="8">(V19*2%)+V19</f>
        <v>40.799999999999997</v>
      </c>
      <c r="AJ19" s="85">
        <f t="shared" ref="AJ19:AJ23" si="9">(W19*2%)+W19</f>
        <v>40.799999999999997</v>
      </c>
      <c r="AK19" s="85">
        <f t="shared" ref="AK19:AK23" si="10">(X19*2%)+X19</f>
        <v>40.799999999999997</v>
      </c>
      <c r="AL19" s="85">
        <f t="shared" ref="AL19:AL23" si="11">(Y19*2%)+Y19</f>
        <v>30.6</v>
      </c>
      <c r="AM19" s="85">
        <f t="shared" ref="AM19:AM23" si="12">(Z19*2%)+Z19</f>
        <v>30.6</v>
      </c>
      <c r="AN19" s="85">
        <f t="shared" ref="AN19:AN23" si="13">(AA19*2%)+AA19</f>
        <v>20.399999999999999</v>
      </c>
      <c r="AO19" s="12">
        <f t="shared" si="4"/>
        <v>393.94000000000005</v>
      </c>
    </row>
    <row r="20" spans="1:41" x14ac:dyDescent="0.35">
      <c r="A20" s="1" t="s">
        <v>16</v>
      </c>
      <c r="B20" s="1" t="s">
        <v>27</v>
      </c>
      <c r="C20" s="50">
        <v>210</v>
      </c>
      <c r="D20" s="50">
        <v>300</v>
      </c>
      <c r="E20" s="50">
        <v>320</v>
      </c>
      <c r="F20" s="50">
        <v>310</v>
      </c>
      <c r="G20" s="50">
        <v>375</v>
      </c>
      <c r="H20" s="50">
        <v>400</v>
      </c>
      <c r="I20" s="50">
        <v>350</v>
      </c>
      <c r="J20" s="50">
        <v>350</v>
      </c>
      <c r="K20" s="50">
        <v>250</v>
      </c>
      <c r="L20" s="50">
        <v>250</v>
      </c>
      <c r="M20" s="50">
        <v>250</v>
      </c>
      <c r="N20" s="50">
        <v>250</v>
      </c>
      <c r="O20" s="55">
        <f t="shared" si="2"/>
        <v>3615</v>
      </c>
      <c r="P20" s="95">
        <v>0</v>
      </c>
      <c r="Q20" s="95">
        <v>137</v>
      </c>
      <c r="R20" s="95">
        <v>150</v>
      </c>
      <c r="S20" s="95">
        <v>300</v>
      </c>
      <c r="T20" s="95">
        <v>400</v>
      </c>
      <c r="U20" s="95">
        <v>400</v>
      </c>
      <c r="V20" s="95">
        <v>350</v>
      </c>
      <c r="W20" s="95">
        <v>350</v>
      </c>
      <c r="X20" s="95">
        <v>350</v>
      </c>
      <c r="Y20" s="154">
        <v>250</v>
      </c>
      <c r="Z20" s="154">
        <v>250</v>
      </c>
      <c r="AA20" s="154">
        <v>250</v>
      </c>
      <c r="AB20" s="12">
        <f t="shared" si="0"/>
        <v>3187</v>
      </c>
      <c r="AC20" s="85">
        <v>250</v>
      </c>
      <c r="AD20" s="85">
        <v>250</v>
      </c>
      <c r="AE20" s="85">
        <f t="shared" si="3"/>
        <v>153</v>
      </c>
      <c r="AF20" s="85">
        <f t="shared" si="5"/>
        <v>306</v>
      </c>
      <c r="AG20" s="85">
        <f t="shared" si="6"/>
        <v>408</v>
      </c>
      <c r="AH20" s="85">
        <f t="shared" si="7"/>
        <v>408</v>
      </c>
      <c r="AI20" s="85">
        <f t="shared" si="8"/>
        <v>357</v>
      </c>
      <c r="AJ20" s="85">
        <f t="shared" si="9"/>
        <v>357</v>
      </c>
      <c r="AK20" s="85">
        <f t="shared" si="10"/>
        <v>357</v>
      </c>
      <c r="AL20" s="85">
        <f t="shared" si="11"/>
        <v>255</v>
      </c>
      <c r="AM20" s="85">
        <f t="shared" si="12"/>
        <v>255</v>
      </c>
      <c r="AN20" s="85">
        <f t="shared" si="13"/>
        <v>255</v>
      </c>
      <c r="AO20" s="12">
        <f t="shared" si="4"/>
        <v>3611</v>
      </c>
    </row>
    <row r="21" spans="1:41" x14ac:dyDescent="0.35">
      <c r="A21" s="1" t="s">
        <v>16</v>
      </c>
      <c r="B21" s="1" t="s">
        <v>28</v>
      </c>
      <c r="C21" s="50">
        <v>40</v>
      </c>
      <c r="D21" s="50">
        <v>60</v>
      </c>
      <c r="E21" s="50">
        <v>60</v>
      </c>
      <c r="F21" s="50">
        <v>60</v>
      </c>
      <c r="G21" s="50">
        <v>50</v>
      </c>
      <c r="H21" s="50">
        <v>50</v>
      </c>
      <c r="I21" s="50">
        <v>0</v>
      </c>
      <c r="J21" s="50">
        <v>0</v>
      </c>
      <c r="K21" s="50">
        <v>60</v>
      </c>
      <c r="L21" s="50">
        <v>50</v>
      </c>
      <c r="M21" s="50">
        <v>50</v>
      </c>
      <c r="N21" s="50">
        <v>35</v>
      </c>
      <c r="O21" s="55">
        <f t="shared" si="2"/>
        <v>515</v>
      </c>
      <c r="P21" s="95">
        <v>30</v>
      </c>
      <c r="Q21" s="95">
        <v>30</v>
      </c>
      <c r="R21" s="95">
        <v>70</v>
      </c>
      <c r="S21" s="95">
        <v>50</v>
      </c>
      <c r="T21" s="95">
        <v>40</v>
      </c>
      <c r="U21" s="95">
        <v>80</v>
      </c>
      <c r="V21" s="95">
        <v>80</v>
      </c>
      <c r="W21" s="95">
        <v>80</v>
      </c>
      <c r="X21" s="95">
        <v>75</v>
      </c>
      <c r="Y21" s="95">
        <v>75</v>
      </c>
      <c r="Z21" s="95">
        <v>50</v>
      </c>
      <c r="AA21" s="95">
        <v>50</v>
      </c>
      <c r="AB21" s="12">
        <f t="shared" si="0"/>
        <v>710</v>
      </c>
      <c r="AC21" s="85">
        <v>30</v>
      </c>
      <c r="AD21" s="85">
        <v>30</v>
      </c>
      <c r="AE21" s="85">
        <f t="shared" si="3"/>
        <v>71.400000000000006</v>
      </c>
      <c r="AF21" s="85">
        <f t="shared" si="5"/>
        <v>51</v>
      </c>
      <c r="AG21" s="85">
        <f t="shared" si="6"/>
        <v>40.799999999999997</v>
      </c>
      <c r="AH21" s="85">
        <f t="shared" si="7"/>
        <v>81.599999999999994</v>
      </c>
      <c r="AI21" s="85">
        <f t="shared" si="8"/>
        <v>81.599999999999994</v>
      </c>
      <c r="AJ21" s="85">
        <f t="shared" si="9"/>
        <v>81.599999999999994</v>
      </c>
      <c r="AK21" s="85">
        <f t="shared" si="10"/>
        <v>76.5</v>
      </c>
      <c r="AL21" s="85">
        <f t="shared" si="11"/>
        <v>76.5</v>
      </c>
      <c r="AM21" s="85">
        <f t="shared" si="12"/>
        <v>51</v>
      </c>
      <c r="AN21" s="85">
        <f t="shared" si="13"/>
        <v>51</v>
      </c>
      <c r="AO21" s="12">
        <f t="shared" si="4"/>
        <v>723</v>
      </c>
    </row>
    <row r="22" spans="1:41" x14ac:dyDescent="0.35">
      <c r="A22" s="1" t="s">
        <v>16</v>
      </c>
      <c r="B22" s="1" t="s">
        <v>29</v>
      </c>
      <c r="C22" s="50">
        <v>320</v>
      </c>
      <c r="D22" s="50">
        <v>370</v>
      </c>
      <c r="E22" s="50">
        <v>390</v>
      </c>
      <c r="F22" s="50">
        <v>410</v>
      </c>
      <c r="G22" s="50">
        <v>500</v>
      </c>
      <c r="H22" s="50">
        <v>480</v>
      </c>
      <c r="I22" s="50">
        <v>500</v>
      </c>
      <c r="J22" s="50">
        <v>500</v>
      </c>
      <c r="K22" s="50">
        <v>350</v>
      </c>
      <c r="L22" s="50">
        <v>350</v>
      </c>
      <c r="M22" s="50">
        <v>350</v>
      </c>
      <c r="N22" s="50">
        <v>220</v>
      </c>
      <c r="O22" s="55">
        <f t="shared" si="2"/>
        <v>4740</v>
      </c>
      <c r="P22" s="95">
        <v>160</v>
      </c>
      <c r="Q22" s="95">
        <v>0</v>
      </c>
      <c r="R22" s="95">
        <v>300</v>
      </c>
      <c r="S22" s="95">
        <v>400</v>
      </c>
      <c r="T22" s="95">
        <v>400</v>
      </c>
      <c r="U22" s="95">
        <v>400</v>
      </c>
      <c r="V22" s="95">
        <v>400</v>
      </c>
      <c r="W22" s="95">
        <v>400</v>
      </c>
      <c r="X22" s="95">
        <v>400</v>
      </c>
      <c r="Y22" s="95">
        <v>300</v>
      </c>
      <c r="Z22" s="95">
        <v>300</v>
      </c>
      <c r="AA22" s="95">
        <v>200</v>
      </c>
      <c r="AB22" s="12">
        <f t="shared" si="0"/>
        <v>3660</v>
      </c>
      <c r="AC22" s="85">
        <v>400</v>
      </c>
      <c r="AD22" s="85">
        <v>300</v>
      </c>
      <c r="AE22" s="85">
        <f t="shared" si="3"/>
        <v>306</v>
      </c>
      <c r="AF22" s="85">
        <f t="shared" si="5"/>
        <v>408</v>
      </c>
      <c r="AG22" s="85">
        <f t="shared" si="6"/>
        <v>408</v>
      </c>
      <c r="AH22" s="85">
        <f t="shared" si="7"/>
        <v>408</v>
      </c>
      <c r="AI22" s="85">
        <f t="shared" si="8"/>
        <v>408</v>
      </c>
      <c r="AJ22" s="85">
        <f t="shared" si="9"/>
        <v>408</v>
      </c>
      <c r="AK22" s="85">
        <f t="shared" si="10"/>
        <v>408</v>
      </c>
      <c r="AL22" s="85">
        <f t="shared" si="11"/>
        <v>306</v>
      </c>
      <c r="AM22" s="85">
        <f t="shared" si="12"/>
        <v>306</v>
      </c>
      <c r="AN22" s="85">
        <f t="shared" si="13"/>
        <v>204</v>
      </c>
      <c r="AO22" s="12">
        <f t="shared" si="4"/>
        <v>4270</v>
      </c>
    </row>
    <row r="23" spans="1:41" x14ac:dyDescent="0.35">
      <c r="A23" s="1" t="s">
        <v>16</v>
      </c>
      <c r="B23" s="1" t="s">
        <v>30</v>
      </c>
      <c r="C23" s="50">
        <v>3200</v>
      </c>
      <c r="D23" s="50">
        <v>5100</v>
      </c>
      <c r="E23" s="50">
        <v>4600</v>
      </c>
      <c r="F23" s="50">
        <v>5300</v>
      </c>
      <c r="G23" s="50">
        <v>6750</v>
      </c>
      <c r="H23" s="50">
        <v>6500</v>
      </c>
      <c r="I23" s="50">
        <v>6250</v>
      </c>
      <c r="J23" s="50">
        <v>6500</v>
      </c>
      <c r="K23" s="50">
        <v>6500</v>
      </c>
      <c r="L23" s="50">
        <v>5000</v>
      </c>
      <c r="M23" s="50">
        <v>7500</v>
      </c>
      <c r="N23" s="50">
        <v>6900</v>
      </c>
      <c r="O23" s="55">
        <f t="shared" si="2"/>
        <v>70100</v>
      </c>
      <c r="P23" s="95">
        <v>7500</v>
      </c>
      <c r="Q23" s="95">
        <v>8000</v>
      </c>
      <c r="R23" s="95">
        <v>9000</v>
      </c>
      <c r="S23" s="95">
        <v>7500</v>
      </c>
      <c r="T23" s="95">
        <v>6500</v>
      </c>
      <c r="U23" s="95">
        <v>6500</v>
      </c>
      <c r="V23" s="95">
        <v>7000</v>
      </c>
      <c r="W23" s="95">
        <v>7000</v>
      </c>
      <c r="X23" s="95">
        <v>6500</v>
      </c>
      <c r="Y23" s="95">
        <v>6500</v>
      </c>
      <c r="Z23" s="95">
        <v>6000</v>
      </c>
      <c r="AA23" s="95">
        <v>4500</v>
      </c>
      <c r="AB23" s="12">
        <f t="shared" si="0"/>
        <v>82500</v>
      </c>
      <c r="AC23" s="85">
        <v>7500</v>
      </c>
      <c r="AD23" s="85">
        <v>8000</v>
      </c>
      <c r="AE23" s="85">
        <f t="shared" si="3"/>
        <v>9180</v>
      </c>
      <c r="AF23" s="85">
        <f t="shared" si="5"/>
        <v>7650</v>
      </c>
      <c r="AG23" s="85">
        <f t="shared" si="6"/>
        <v>6630</v>
      </c>
      <c r="AH23" s="85">
        <f t="shared" si="7"/>
        <v>6630</v>
      </c>
      <c r="AI23" s="85">
        <f t="shared" si="8"/>
        <v>7140</v>
      </c>
      <c r="AJ23" s="85">
        <f t="shared" si="9"/>
        <v>7140</v>
      </c>
      <c r="AK23" s="85">
        <f t="shared" si="10"/>
        <v>6630</v>
      </c>
      <c r="AL23" s="85">
        <f t="shared" si="11"/>
        <v>6630</v>
      </c>
      <c r="AM23" s="85">
        <f t="shared" si="12"/>
        <v>6120</v>
      </c>
      <c r="AN23" s="85">
        <f t="shared" si="13"/>
        <v>4590</v>
      </c>
      <c r="AO23" s="12">
        <f t="shared" si="4"/>
        <v>83840</v>
      </c>
    </row>
    <row r="24" spans="1:41" x14ac:dyDescent="0.35">
      <c r="A24" s="1" t="s">
        <v>16</v>
      </c>
      <c r="B24" s="144" t="s">
        <v>31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5">
        <f t="shared" si="2"/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X24" s="141">
        <v>0</v>
      </c>
      <c r="Y24" s="141">
        <v>0</v>
      </c>
      <c r="Z24" s="141">
        <v>0</v>
      </c>
      <c r="AA24" s="141">
        <v>0</v>
      </c>
      <c r="AB24" s="12">
        <f t="shared" ref="AB24:AB31" si="14">SUM(P24:AA24)</f>
        <v>0</v>
      </c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12">
        <f t="shared" si="4"/>
        <v>0</v>
      </c>
    </row>
    <row r="25" spans="1:41" x14ac:dyDescent="0.35">
      <c r="A25" s="1" t="s">
        <v>16</v>
      </c>
      <c r="B25" s="144" t="s">
        <v>32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5">
        <f t="shared" si="2"/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X25" s="141">
        <v>0</v>
      </c>
      <c r="Y25" s="141">
        <v>0</v>
      </c>
      <c r="Z25" s="141">
        <v>0</v>
      </c>
      <c r="AA25" s="141">
        <v>0</v>
      </c>
      <c r="AB25" s="12">
        <f t="shared" si="14"/>
        <v>0</v>
      </c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12">
        <f t="shared" si="4"/>
        <v>0</v>
      </c>
    </row>
    <row r="26" spans="1:41" x14ac:dyDescent="0.35">
      <c r="A26" s="1" t="s">
        <v>16</v>
      </c>
      <c r="B26" s="1" t="s">
        <v>33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5"/>
      <c r="P26" s="141">
        <v>0</v>
      </c>
      <c r="Q26" s="141">
        <v>0</v>
      </c>
      <c r="R26" s="141">
        <v>0</v>
      </c>
      <c r="S26" s="141">
        <v>0</v>
      </c>
      <c r="T26" s="141">
        <v>0</v>
      </c>
      <c r="U26" s="141">
        <v>0</v>
      </c>
      <c r="V26" s="141">
        <v>0</v>
      </c>
      <c r="W26" s="141">
        <v>0</v>
      </c>
      <c r="X26" s="141">
        <v>0</v>
      </c>
      <c r="Y26" s="141">
        <v>0</v>
      </c>
      <c r="Z26" s="141">
        <v>0</v>
      </c>
      <c r="AA26" s="141">
        <v>0</v>
      </c>
      <c r="AB26" s="12">
        <f t="shared" si="14"/>
        <v>0</v>
      </c>
      <c r="AC26" s="126"/>
      <c r="AD26" s="126"/>
      <c r="AE26" s="126"/>
      <c r="AF26" s="126"/>
      <c r="AG26" s="126"/>
      <c r="AH26" s="126"/>
      <c r="AI26" s="126"/>
      <c r="AJ26" s="56"/>
      <c r="AK26" s="56"/>
      <c r="AL26" s="56"/>
      <c r="AM26" s="56"/>
      <c r="AN26" s="56"/>
      <c r="AO26" s="12">
        <f t="shared" si="4"/>
        <v>0</v>
      </c>
    </row>
    <row r="27" spans="1:41" x14ac:dyDescent="0.35">
      <c r="A27" s="1" t="s">
        <v>10</v>
      </c>
      <c r="B27" s="1" t="s">
        <v>34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5"/>
      <c r="P27" s="141">
        <v>0</v>
      </c>
      <c r="Q27" s="141">
        <v>0</v>
      </c>
      <c r="R27" s="141">
        <v>0</v>
      </c>
      <c r="S27" s="141">
        <v>0</v>
      </c>
      <c r="T27" s="141">
        <v>0</v>
      </c>
      <c r="U27" s="141">
        <v>0</v>
      </c>
      <c r="V27" s="141">
        <v>0</v>
      </c>
      <c r="W27" s="141">
        <v>0</v>
      </c>
      <c r="X27" s="141">
        <v>0</v>
      </c>
      <c r="Y27" s="141">
        <v>0</v>
      </c>
      <c r="Z27" s="141">
        <v>0</v>
      </c>
      <c r="AA27" s="141">
        <v>0</v>
      </c>
      <c r="AB27" s="12">
        <f t="shared" si="14"/>
        <v>0</v>
      </c>
      <c r="AC27" s="126"/>
      <c r="AD27" s="126"/>
      <c r="AE27" s="126"/>
      <c r="AF27" s="126"/>
      <c r="AG27" s="126"/>
      <c r="AH27" s="126"/>
      <c r="AI27" s="126"/>
      <c r="AJ27" s="56"/>
      <c r="AK27" s="56"/>
      <c r="AL27" s="56"/>
      <c r="AM27" s="56"/>
      <c r="AN27" s="56"/>
      <c r="AO27" s="12">
        <f t="shared" si="4"/>
        <v>0</v>
      </c>
    </row>
    <row r="28" spans="1:41" x14ac:dyDescent="0.35">
      <c r="A28" s="1" t="s">
        <v>4</v>
      </c>
      <c r="B28" s="1" t="s">
        <v>35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5"/>
      <c r="P28" s="141">
        <v>0</v>
      </c>
      <c r="Q28" s="141">
        <v>0</v>
      </c>
      <c r="R28" s="141">
        <v>0</v>
      </c>
      <c r="S28" s="141">
        <v>0</v>
      </c>
      <c r="T28" s="141">
        <v>0</v>
      </c>
      <c r="U28" s="141">
        <v>0</v>
      </c>
      <c r="V28" s="141">
        <v>0</v>
      </c>
      <c r="W28" s="141">
        <v>0</v>
      </c>
      <c r="X28" s="141">
        <v>0</v>
      </c>
      <c r="Y28" s="141">
        <v>300</v>
      </c>
      <c r="Z28" s="142">
        <v>300</v>
      </c>
      <c r="AA28" s="142">
        <v>300</v>
      </c>
      <c r="AB28" s="12">
        <f t="shared" si="14"/>
        <v>900</v>
      </c>
      <c r="AC28" s="126">
        <v>300</v>
      </c>
      <c r="AD28" s="126">
        <v>300</v>
      </c>
      <c r="AE28" s="126">
        <v>300</v>
      </c>
      <c r="AF28" s="126">
        <v>300</v>
      </c>
      <c r="AG28" s="126">
        <v>300</v>
      </c>
      <c r="AH28" s="126">
        <v>300</v>
      </c>
      <c r="AI28" s="126">
        <v>300</v>
      </c>
      <c r="AJ28" s="56">
        <v>300</v>
      </c>
      <c r="AK28" s="56">
        <v>300</v>
      </c>
      <c r="AL28" s="56">
        <v>300</v>
      </c>
      <c r="AM28" s="56">
        <v>300</v>
      </c>
      <c r="AN28" s="56">
        <v>300</v>
      </c>
      <c r="AO28" s="12">
        <f t="shared" si="4"/>
        <v>3600</v>
      </c>
    </row>
    <row r="29" spans="1:41" x14ac:dyDescent="0.35">
      <c r="A29" s="1" t="s">
        <v>16</v>
      </c>
      <c r="B29" s="1" t="s">
        <v>36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5"/>
      <c r="P29" s="141">
        <v>0</v>
      </c>
      <c r="Q29" s="141">
        <v>0</v>
      </c>
      <c r="R29" s="141">
        <v>0</v>
      </c>
      <c r="S29" s="141">
        <v>0</v>
      </c>
      <c r="T29" s="141">
        <v>0</v>
      </c>
      <c r="U29" s="141">
        <v>0</v>
      </c>
      <c r="V29" s="141">
        <v>0</v>
      </c>
      <c r="W29" s="141">
        <v>0</v>
      </c>
      <c r="X29" s="141">
        <v>0</v>
      </c>
      <c r="Y29" s="143">
        <v>250</v>
      </c>
      <c r="Z29" s="143">
        <v>250</v>
      </c>
      <c r="AA29" s="143">
        <v>250</v>
      </c>
      <c r="AB29" s="12">
        <f t="shared" si="14"/>
        <v>750</v>
      </c>
      <c r="AC29" s="127">
        <v>350</v>
      </c>
      <c r="AD29" s="127">
        <v>250</v>
      </c>
      <c r="AE29" s="127">
        <f t="shared" ref="AE29:AK29" si="15">AD29*1.05</f>
        <v>262.5</v>
      </c>
      <c r="AF29" s="127">
        <f t="shared" si="15"/>
        <v>275.625</v>
      </c>
      <c r="AG29" s="127">
        <f t="shared" si="15"/>
        <v>289.40625</v>
      </c>
      <c r="AH29" s="127">
        <f t="shared" si="15"/>
        <v>303.87656250000003</v>
      </c>
      <c r="AI29" s="127">
        <f t="shared" si="15"/>
        <v>319.07039062500007</v>
      </c>
      <c r="AJ29" s="56">
        <f t="shared" si="15"/>
        <v>335.02391015625011</v>
      </c>
      <c r="AK29" s="56">
        <f t="shared" si="15"/>
        <v>351.77510566406261</v>
      </c>
      <c r="AL29" s="56">
        <v>250</v>
      </c>
      <c r="AM29" s="56">
        <v>250</v>
      </c>
      <c r="AN29" s="56">
        <v>250</v>
      </c>
      <c r="AO29" s="12">
        <f t="shared" si="4"/>
        <v>3487.2772189453131</v>
      </c>
    </row>
    <row r="30" spans="1:41" x14ac:dyDescent="0.35">
      <c r="A30" s="1" t="s">
        <v>10</v>
      </c>
      <c r="B30" s="1" t="s">
        <v>37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5"/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0</v>
      </c>
      <c r="X30" s="141">
        <v>0</v>
      </c>
      <c r="Y30" s="143">
        <v>150</v>
      </c>
      <c r="Z30" s="143">
        <v>150</v>
      </c>
      <c r="AA30" s="143">
        <v>150</v>
      </c>
      <c r="AB30" s="12">
        <f t="shared" si="14"/>
        <v>450</v>
      </c>
      <c r="AC30" s="127">
        <v>200</v>
      </c>
      <c r="AD30" s="127">
        <v>200</v>
      </c>
      <c r="AE30" s="127">
        <f t="shared" ref="AE30:AK30" si="16">AD30*1.05</f>
        <v>210</v>
      </c>
      <c r="AF30" s="127">
        <f t="shared" si="16"/>
        <v>220.5</v>
      </c>
      <c r="AG30" s="127">
        <f t="shared" si="16"/>
        <v>231.52500000000001</v>
      </c>
      <c r="AH30" s="127">
        <f t="shared" si="16"/>
        <v>243.10125000000002</v>
      </c>
      <c r="AI30" s="127">
        <f t="shared" si="16"/>
        <v>255.25631250000004</v>
      </c>
      <c r="AJ30" s="56">
        <f t="shared" si="16"/>
        <v>268.01912812500007</v>
      </c>
      <c r="AK30" s="56">
        <f t="shared" si="16"/>
        <v>281.4200845312501</v>
      </c>
      <c r="AL30" s="56">
        <v>200</v>
      </c>
      <c r="AM30" s="56">
        <v>200</v>
      </c>
      <c r="AN30" s="56">
        <v>200</v>
      </c>
      <c r="AO30" s="12">
        <f t="shared" si="4"/>
        <v>2709.8217751562502</v>
      </c>
    </row>
    <row r="31" spans="1:41" ht="15" thickBot="1" x14ac:dyDescent="0.4">
      <c r="A31" s="1" t="s">
        <v>4</v>
      </c>
      <c r="B31" s="1" t="s">
        <v>38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5"/>
      <c r="P31" s="141">
        <v>0</v>
      </c>
      <c r="Q31" s="141">
        <v>0</v>
      </c>
      <c r="R31" s="141">
        <v>0</v>
      </c>
      <c r="S31" s="141">
        <v>0</v>
      </c>
      <c r="T31" s="141">
        <v>0</v>
      </c>
      <c r="U31" s="141">
        <v>0</v>
      </c>
      <c r="V31" s="141">
        <v>0</v>
      </c>
      <c r="W31" s="141">
        <v>0</v>
      </c>
      <c r="X31" s="141">
        <v>0</v>
      </c>
      <c r="Y31" s="143">
        <v>200</v>
      </c>
      <c r="Z31" s="143">
        <v>200</v>
      </c>
      <c r="AA31" s="143">
        <v>200</v>
      </c>
      <c r="AB31" s="12">
        <f t="shared" si="14"/>
        <v>600</v>
      </c>
      <c r="AC31" s="127">
        <v>250</v>
      </c>
      <c r="AD31" s="127">
        <v>200</v>
      </c>
      <c r="AE31" s="127">
        <f t="shared" ref="AE31:AK31" si="17">AD31*1.05</f>
        <v>210</v>
      </c>
      <c r="AF31" s="127">
        <f t="shared" si="17"/>
        <v>220.5</v>
      </c>
      <c r="AG31" s="127">
        <f t="shared" si="17"/>
        <v>231.52500000000001</v>
      </c>
      <c r="AH31" s="127">
        <f t="shared" si="17"/>
        <v>243.10125000000002</v>
      </c>
      <c r="AI31" s="127">
        <f t="shared" si="17"/>
        <v>255.25631250000004</v>
      </c>
      <c r="AJ31" s="56">
        <f t="shared" si="17"/>
        <v>268.01912812500007</v>
      </c>
      <c r="AK31" s="56">
        <f t="shared" si="17"/>
        <v>281.4200845312501</v>
      </c>
      <c r="AL31" s="56">
        <v>200</v>
      </c>
      <c r="AM31" s="56">
        <v>200</v>
      </c>
      <c r="AN31" s="56">
        <v>200</v>
      </c>
      <c r="AO31" s="12">
        <f t="shared" si="4"/>
        <v>2759.8217751562502</v>
      </c>
    </row>
    <row r="32" spans="1:41" s="2" customFormat="1" ht="15" thickBot="1" x14ac:dyDescent="0.4">
      <c r="B32" s="103" t="s">
        <v>39</v>
      </c>
      <c r="C32" s="116">
        <f t="shared" ref="C32:AO32" si="18">SUM(C3:C23)</f>
        <v>11590</v>
      </c>
      <c r="D32" s="117">
        <f t="shared" si="18"/>
        <v>15030</v>
      </c>
      <c r="E32" s="117">
        <f t="shared" si="18"/>
        <v>14920</v>
      </c>
      <c r="F32" s="117">
        <f t="shared" si="18"/>
        <v>14980</v>
      </c>
      <c r="G32" s="117">
        <f t="shared" si="18"/>
        <v>19145</v>
      </c>
      <c r="H32" s="117">
        <f t="shared" si="18"/>
        <v>18495</v>
      </c>
      <c r="I32" s="117">
        <f t="shared" si="18"/>
        <v>18300</v>
      </c>
      <c r="J32" s="117">
        <f t="shared" si="18"/>
        <v>19130</v>
      </c>
      <c r="K32" s="117">
        <f t="shared" si="18"/>
        <v>16572</v>
      </c>
      <c r="L32" s="117">
        <f t="shared" si="18"/>
        <v>17445</v>
      </c>
      <c r="M32" s="117">
        <f t="shared" si="18"/>
        <v>16524</v>
      </c>
      <c r="N32" s="117">
        <f t="shared" si="18"/>
        <v>16610</v>
      </c>
      <c r="O32" s="115">
        <f t="shared" si="18"/>
        <v>198741</v>
      </c>
      <c r="P32" s="116">
        <f t="shared" si="18"/>
        <v>18764</v>
      </c>
      <c r="Q32" s="117">
        <f t="shared" si="18"/>
        <v>18825</v>
      </c>
      <c r="R32" s="117">
        <f t="shared" si="18"/>
        <v>21122</v>
      </c>
      <c r="S32" s="117">
        <f t="shared" si="18"/>
        <v>21123</v>
      </c>
      <c r="T32" s="117">
        <f t="shared" si="18"/>
        <v>20164</v>
      </c>
      <c r="U32" s="117">
        <f t="shared" si="18"/>
        <v>20350</v>
      </c>
      <c r="V32" s="117">
        <f t="shared" si="18"/>
        <v>21725</v>
      </c>
      <c r="W32" s="117">
        <f t="shared" si="18"/>
        <v>21225</v>
      </c>
      <c r="X32" s="117">
        <f t="shared" si="18"/>
        <v>19175</v>
      </c>
      <c r="Y32" s="117">
        <f t="shared" si="18"/>
        <v>17740</v>
      </c>
      <c r="Z32" s="117">
        <f t="shared" si="18"/>
        <v>16990</v>
      </c>
      <c r="AA32" s="118">
        <f t="shared" si="18"/>
        <v>13455</v>
      </c>
      <c r="AB32" s="104">
        <f t="shared" si="18"/>
        <v>230658</v>
      </c>
      <c r="AC32" s="116">
        <f t="shared" si="18"/>
        <v>21430</v>
      </c>
      <c r="AD32" s="117">
        <f t="shared" si="18"/>
        <v>21150</v>
      </c>
      <c r="AE32" s="117">
        <f t="shared" si="18"/>
        <v>21544.440000000002</v>
      </c>
      <c r="AF32" s="117">
        <f t="shared" si="18"/>
        <v>21545.46</v>
      </c>
      <c r="AG32" s="117">
        <f t="shared" si="18"/>
        <v>20567.28</v>
      </c>
      <c r="AH32" s="117">
        <f t="shared" si="18"/>
        <v>20757</v>
      </c>
      <c r="AI32" s="117">
        <f t="shared" si="18"/>
        <v>22159.5</v>
      </c>
      <c r="AJ32" s="117">
        <f t="shared" si="18"/>
        <v>21649.5</v>
      </c>
      <c r="AK32" s="117">
        <f t="shared" si="18"/>
        <v>19558.5</v>
      </c>
      <c r="AL32" s="117">
        <f t="shared" si="18"/>
        <v>18094.800000000003</v>
      </c>
      <c r="AM32" s="117">
        <f t="shared" si="18"/>
        <v>17329.800000000003</v>
      </c>
      <c r="AN32" s="118">
        <f t="shared" si="18"/>
        <v>13724.1</v>
      </c>
      <c r="AO32" s="104">
        <f t="shared" si="18"/>
        <v>239510.38000000003</v>
      </c>
    </row>
    <row r="33" spans="1:41" customFormat="1" ht="15" thickBot="1" x14ac:dyDescent="0.4">
      <c r="A33" s="2"/>
      <c r="AB33" s="132">
        <f>AB32*6</f>
        <v>1383948</v>
      </c>
    </row>
    <row r="34" spans="1:41" s="125" customFormat="1" x14ac:dyDescent="0.35">
      <c r="A34" s="1"/>
      <c r="B34" s="119" t="s">
        <v>40</v>
      </c>
      <c r="C34" s="120">
        <f t="shared" ref="C34:AO34" si="19">SUM(C3:C31)</f>
        <v>11590</v>
      </c>
      <c r="D34" s="121">
        <f t="shared" si="19"/>
        <v>15030</v>
      </c>
      <c r="E34" s="121">
        <f t="shared" si="19"/>
        <v>14920</v>
      </c>
      <c r="F34" s="121">
        <f t="shared" si="19"/>
        <v>14980</v>
      </c>
      <c r="G34" s="121">
        <f t="shared" si="19"/>
        <v>19145</v>
      </c>
      <c r="H34" s="121">
        <f t="shared" si="19"/>
        <v>18495</v>
      </c>
      <c r="I34" s="121">
        <f t="shared" si="19"/>
        <v>18300</v>
      </c>
      <c r="J34" s="121">
        <f t="shared" si="19"/>
        <v>19130</v>
      </c>
      <c r="K34" s="121">
        <f t="shared" si="19"/>
        <v>16572</v>
      </c>
      <c r="L34" s="121">
        <f t="shared" si="19"/>
        <v>17445</v>
      </c>
      <c r="M34" s="121">
        <f t="shared" si="19"/>
        <v>16524</v>
      </c>
      <c r="N34" s="121">
        <f t="shared" si="19"/>
        <v>16610</v>
      </c>
      <c r="O34" s="123">
        <f t="shared" si="19"/>
        <v>198741</v>
      </c>
      <c r="P34" s="120">
        <f t="shared" si="19"/>
        <v>18764</v>
      </c>
      <c r="Q34" s="121">
        <f t="shared" si="19"/>
        <v>18825</v>
      </c>
      <c r="R34" s="121">
        <f t="shared" si="19"/>
        <v>21122</v>
      </c>
      <c r="S34" s="121">
        <f t="shared" si="19"/>
        <v>21123</v>
      </c>
      <c r="T34" s="121">
        <f t="shared" si="19"/>
        <v>20164</v>
      </c>
      <c r="U34" s="121">
        <f t="shared" si="19"/>
        <v>20350</v>
      </c>
      <c r="V34" s="121">
        <f t="shared" si="19"/>
        <v>21725</v>
      </c>
      <c r="W34" s="121">
        <f t="shared" si="19"/>
        <v>21225</v>
      </c>
      <c r="X34" s="121">
        <f t="shared" si="19"/>
        <v>19175</v>
      </c>
      <c r="Y34" s="121">
        <f t="shared" si="19"/>
        <v>18640</v>
      </c>
      <c r="Z34" s="121">
        <f t="shared" si="19"/>
        <v>17890</v>
      </c>
      <c r="AA34" s="122">
        <f t="shared" si="19"/>
        <v>14355</v>
      </c>
      <c r="AB34" s="124">
        <f t="shared" si="19"/>
        <v>233358</v>
      </c>
      <c r="AC34" s="120">
        <f t="shared" si="19"/>
        <v>22530</v>
      </c>
      <c r="AD34" s="121">
        <f t="shared" si="19"/>
        <v>22100</v>
      </c>
      <c r="AE34" s="121">
        <f t="shared" si="19"/>
        <v>22526.940000000002</v>
      </c>
      <c r="AF34" s="121">
        <f t="shared" si="19"/>
        <v>22562.084999999999</v>
      </c>
      <c r="AG34" s="121">
        <f t="shared" si="19"/>
        <v>21619.736250000002</v>
      </c>
      <c r="AH34" s="121">
        <f t="shared" si="19"/>
        <v>21847.079062500001</v>
      </c>
      <c r="AI34" s="121">
        <f t="shared" si="19"/>
        <v>23289.083015625001</v>
      </c>
      <c r="AJ34" s="121">
        <f t="shared" si="19"/>
        <v>22820.562166406253</v>
      </c>
      <c r="AK34" s="121">
        <f t="shared" si="19"/>
        <v>20773.115274726566</v>
      </c>
      <c r="AL34" s="121">
        <f t="shared" si="19"/>
        <v>19044.800000000003</v>
      </c>
      <c r="AM34" s="121">
        <f t="shared" si="19"/>
        <v>18279.800000000003</v>
      </c>
      <c r="AN34" s="122">
        <f t="shared" si="19"/>
        <v>14674.1</v>
      </c>
      <c r="AO34" s="124">
        <f t="shared" si="19"/>
        <v>252067.30076925785</v>
      </c>
    </row>
    <row r="35" spans="1:41" x14ac:dyDescent="0.35">
      <c r="P35" s="116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8"/>
      <c r="AB35" s="113">
        <f>AB34*6</f>
        <v>1400148</v>
      </c>
    </row>
    <row r="36" spans="1:41" x14ac:dyDescent="0.35">
      <c r="X36" s="50"/>
      <c r="Y36" s="50"/>
      <c r="Z36" s="50"/>
    </row>
    <row r="37" spans="1:41" x14ac:dyDescent="0.35">
      <c r="X37" s="50"/>
      <c r="Y37" s="50"/>
      <c r="Z37" s="50"/>
      <c r="AB37" s="10">
        <f>1450000/6</f>
        <v>241666.66666666666</v>
      </c>
    </row>
    <row r="38" spans="1:41" x14ac:dyDescent="0.35">
      <c r="X38" s="50"/>
      <c r="Y38" s="50"/>
      <c r="Z38" s="50"/>
    </row>
    <row r="39" spans="1:41" x14ac:dyDescent="0.35">
      <c r="K39" s="1">
        <f>68368*6</f>
        <v>410208</v>
      </c>
      <c r="X39" s="50"/>
      <c r="Y39" s="50"/>
      <c r="Z39" s="50"/>
    </row>
    <row r="40" spans="1:41" x14ac:dyDescent="0.35">
      <c r="X40" s="50"/>
      <c r="Y40" s="50"/>
      <c r="Z40" s="50"/>
    </row>
    <row r="41" spans="1:41" x14ac:dyDescent="0.35">
      <c r="K41" s="1">
        <f>77000*6</f>
        <v>462000</v>
      </c>
    </row>
  </sheetData>
  <autoFilter ref="B2:AO35" xr:uid="{6795F9E2-0308-40FF-A960-A2400EAEC73D}"/>
  <pageMargins left="0.7" right="0.7" top="0.75" bottom="0.75" header="0.3" footer="0.3"/>
  <pageSetup orientation="portrait" r:id="rId1"/>
  <headerFooter>
    <oddFooter>&amp;L_x000D_&amp;1#&amp;"Aptos"&amp;10&amp;K000000 Confidential External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A119-C9AE-436F-AD2A-D402037C0475}">
  <sheetPr codeName="Sheet2">
    <tabColor rgb="FF92D050"/>
  </sheetPr>
  <dimension ref="A2:AP39"/>
  <sheetViews>
    <sheetView zoomScale="90" zoomScaleNormal="100" workbookViewId="0">
      <pane xSplit="2" topLeftCell="O1" activePane="topRight" state="frozen"/>
      <selection pane="topRight" activeCell="AS28" sqref="AS28:AS29"/>
    </sheetView>
  </sheetViews>
  <sheetFormatPr defaultColWidth="8.81640625" defaultRowHeight="14.5" outlineLevelCol="1" x14ac:dyDescent="0.35"/>
  <cols>
    <col min="1" max="1" width="8.81640625" style="1"/>
    <col min="2" max="2" width="32.26953125" style="1" bestFit="1" customWidth="1"/>
    <col min="3" max="6" width="10.453125" style="1" hidden="1" customWidth="1" outlineLevel="1"/>
    <col min="7" max="7" width="9.453125" style="1" hidden="1" customWidth="1" outlineLevel="1"/>
    <col min="8" max="8" width="10.453125" style="1" hidden="1" customWidth="1" outlineLevel="1"/>
    <col min="9" max="9" width="11.26953125" style="1" hidden="1" customWidth="1" outlineLevel="1"/>
    <col min="10" max="11" width="10.453125" style="1" hidden="1" customWidth="1" outlineLevel="1"/>
    <col min="12" max="12" width="11.453125" style="1" hidden="1" customWidth="1" outlineLevel="1"/>
    <col min="13" max="14" width="10.453125" style="1" hidden="1" customWidth="1" outlineLevel="1"/>
    <col min="15" max="15" width="13.54296875" style="2" bestFit="1" customWidth="1" collapsed="1"/>
    <col min="16" max="21" width="9.26953125" style="1" hidden="1" customWidth="1" outlineLevel="1"/>
    <col min="22" max="22" width="10.7265625" style="1" hidden="1" customWidth="1" outlineLevel="1"/>
    <col min="23" max="27" width="9.26953125" style="1" hidden="1" customWidth="1" outlineLevel="1"/>
    <col min="28" max="28" width="11.7265625" style="2" bestFit="1" customWidth="1" collapsed="1"/>
    <col min="29" max="29" width="9.453125" style="2" hidden="1" customWidth="1"/>
    <col min="30" max="30" width="9.453125" style="68" hidden="1" customWidth="1"/>
    <col min="31" max="39" width="9.453125" style="1" hidden="1" customWidth="1"/>
    <col min="40" max="40" width="9.26953125" style="1" hidden="1" customWidth="1"/>
    <col min="41" max="41" width="10.26953125" style="1" bestFit="1" customWidth="1"/>
    <col min="42" max="16384" width="8.81640625" style="1"/>
  </cols>
  <sheetData>
    <row r="2" spans="1:42" s="6" customFormat="1" x14ac:dyDescent="0.35">
      <c r="B2" s="105" t="s">
        <v>0</v>
      </c>
      <c r="C2" s="106">
        <v>45658</v>
      </c>
      <c r="D2" s="106">
        <v>45689</v>
      </c>
      <c r="E2" s="106">
        <v>45717</v>
      </c>
      <c r="F2" s="106">
        <v>45748</v>
      </c>
      <c r="G2" s="106">
        <v>45778</v>
      </c>
      <c r="H2" s="106">
        <v>45809</v>
      </c>
      <c r="I2" s="106">
        <v>45839</v>
      </c>
      <c r="J2" s="106">
        <v>45870</v>
      </c>
      <c r="K2" s="106">
        <v>45901</v>
      </c>
      <c r="L2" s="106">
        <v>45931</v>
      </c>
      <c r="M2" s="106">
        <v>45962</v>
      </c>
      <c r="N2" s="106">
        <v>45992</v>
      </c>
      <c r="O2" s="108" t="s">
        <v>1</v>
      </c>
      <c r="P2" s="106">
        <v>46023</v>
      </c>
      <c r="Q2" s="106">
        <v>46054</v>
      </c>
      <c r="R2" s="107">
        <v>46082</v>
      </c>
      <c r="S2" s="107">
        <v>46113</v>
      </c>
      <c r="T2" s="107">
        <v>46143</v>
      </c>
      <c r="U2" s="107">
        <v>46174</v>
      </c>
      <c r="V2" s="107">
        <v>46204</v>
      </c>
      <c r="W2" s="107">
        <v>46235</v>
      </c>
      <c r="X2" s="107">
        <v>46266</v>
      </c>
      <c r="Y2" s="107">
        <v>46296</v>
      </c>
      <c r="Z2" s="107">
        <v>46327</v>
      </c>
      <c r="AA2" s="107">
        <v>46357</v>
      </c>
      <c r="AB2" s="108" t="s">
        <v>2</v>
      </c>
      <c r="AC2" s="107">
        <v>46388</v>
      </c>
      <c r="AD2" s="107">
        <v>46419</v>
      </c>
      <c r="AE2" s="107">
        <v>46447</v>
      </c>
      <c r="AF2" s="107">
        <v>46478</v>
      </c>
      <c r="AG2" s="107">
        <v>46508</v>
      </c>
      <c r="AH2" s="107">
        <v>46539</v>
      </c>
      <c r="AI2" s="107">
        <v>46569</v>
      </c>
      <c r="AJ2" s="107">
        <v>46600</v>
      </c>
      <c r="AK2" s="107">
        <v>46631</v>
      </c>
      <c r="AL2" s="107">
        <v>46661</v>
      </c>
      <c r="AM2" s="107">
        <v>46692</v>
      </c>
      <c r="AN2" s="107">
        <v>46722</v>
      </c>
      <c r="AO2" s="109" t="s">
        <v>3</v>
      </c>
    </row>
    <row r="3" spans="1:42" s="3" customFormat="1" x14ac:dyDescent="0.35">
      <c r="A3" s="3" t="s">
        <v>4</v>
      </c>
      <c r="B3" s="1" t="str">
        <f>Forecast!B3</f>
        <v>Al Fakher Grapes &amp; Mint 1kg</v>
      </c>
      <c r="C3" s="3">
        <v>203</v>
      </c>
      <c r="D3" s="3">
        <v>47</v>
      </c>
      <c r="E3" s="3">
        <v>419</v>
      </c>
      <c r="F3" s="3">
        <v>207</v>
      </c>
      <c r="G3" s="3">
        <v>144</v>
      </c>
      <c r="H3" s="3">
        <v>156</v>
      </c>
      <c r="I3" s="3">
        <v>495</v>
      </c>
      <c r="J3" s="3">
        <v>172</v>
      </c>
      <c r="K3" s="3">
        <v>244</v>
      </c>
      <c r="L3" s="3">
        <v>637</v>
      </c>
      <c r="M3" s="3">
        <v>101</v>
      </c>
      <c r="N3" s="3">
        <v>2</v>
      </c>
      <c r="O3" s="12">
        <f>SUM(C3:N3)</f>
        <v>2827</v>
      </c>
      <c r="P3" s="145">
        <v>292</v>
      </c>
      <c r="Q3" s="150">
        <v>84</v>
      </c>
      <c r="R3" s="155">
        <v>65</v>
      </c>
      <c r="S3" s="3">
        <f>Forecast!S3</f>
        <v>250</v>
      </c>
      <c r="T3" s="3">
        <f>Forecast!T3</f>
        <v>300</v>
      </c>
      <c r="U3" s="3">
        <f>Forecast!U3</f>
        <v>300</v>
      </c>
      <c r="V3" s="3">
        <f>Forecast!V3</f>
        <v>300</v>
      </c>
      <c r="W3" s="3">
        <f>Forecast!W3</f>
        <v>300</v>
      </c>
      <c r="X3" s="3">
        <f>Forecast!X3</f>
        <v>300</v>
      </c>
      <c r="Y3" s="3">
        <f>Forecast!Y3</f>
        <v>250</v>
      </c>
      <c r="Z3" s="3">
        <f>Forecast!Z3</f>
        <v>250</v>
      </c>
      <c r="AA3" s="3">
        <f>Forecast!AA3</f>
        <v>250</v>
      </c>
      <c r="AB3" s="12">
        <f>SUM(P3:AA3)</f>
        <v>2941</v>
      </c>
      <c r="AC3" s="149">
        <f>Forecast!AC3</f>
        <v>250</v>
      </c>
      <c r="AD3" s="149">
        <f>Forecast!AD3</f>
        <v>230</v>
      </c>
      <c r="AE3" s="149">
        <f>Forecast!AE3</f>
        <v>204</v>
      </c>
      <c r="AF3" s="149">
        <f>Forecast!AF3</f>
        <v>255</v>
      </c>
      <c r="AG3" s="149">
        <f>Forecast!AG3</f>
        <v>306</v>
      </c>
      <c r="AH3" s="149">
        <f>Forecast!AH3</f>
        <v>306</v>
      </c>
      <c r="AI3" s="149">
        <f>Forecast!AI3</f>
        <v>306</v>
      </c>
      <c r="AJ3" s="149">
        <f>Forecast!AJ3</f>
        <v>306</v>
      </c>
      <c r="AK3" s="149">
        <f>Forecast!AK3</f>
        <v>306</v>
      </c>
      <c r="AL3" s="149">
        <f>Forecast!AL3</f>
        <v>255</v>
      </c>
      <c r="AM3" s="149">
        <f>Forecast!AM3</f>
        <v>255</v>
      </c>
      <c r="AN3" s="149">
        <f>Forecast!AN3</f>
        <v>255</v>
      </c>
      <c r="AO3" s="12">
        <f>SUM(AC3:AN3)</f>
        <v>3234</v>
      </c>
      <c r="AP3" s="148">
        <f>AB3/O3-1</f>
        <v>4.032543332154237E-2</v>
      </c>
    </row>
    <row r="4" spans="1:42" s="3" customFormat="1" x14ac:dyDescent="0.35">
      <c r="A4" s="3" t="s">
        <v>4</v>
      </c>
      <c r="B4" s="1" t="str">
        <f>Forecast!B4</f>
        <v>Al Fakher Grapes 1kg</v>
      </c>
      <c r="C4" s="3">
        <v>685</v>
      </c>
      <c r="D4" s="3">
        <v>967</v>
      </c>
      <c r="E4" s="3">
        <v>1041</v>
      </c>
      <c r="F4" s="3">
        <v>6</v>
      </c>
      <c r="G4" s="3">
        <v>0</v>
      </c>
      <c r="H4" s="3">
        <v>185</v>
      </c>
      <c r="I4" s="3">
        <v>1226</v>
      </c>
      <c r="J4" s="3">
        <v>60</v>
      </c>
      <c r="K4" s="3">
        <v>656</v>
      </c>
      <c r="L4" s="3">
        <v>890</v>
      </c>
      <c r="M4" s="3">
        <v>716</v>
      </c>
      <c r="N4" s="3">
        <v>22</v>
      </c>
      <c r="O4" s="12">
        <f t="shared" ref="O4:O31" si="0">SUM(C4:N4)</f>
        <v>6454</v>
      </c>
      <c r="P4" s="145">
        <v>505</v>
      </c>
      <c r="Q4" s="150">
        <v>115</v>
      </c>
      <c r="R4" s="155">
        <v>128</v>
      </c>
      <c r="S4" s="3">
        <f>Forecast!S4</f>
        <v>500</v>
      </c>
      <c r="T4" s="3">
        <f>Forecast!T4</f>
        <v>500</v>
      </c>
      <c r="U4" s="3">
        <f>Forecast!U4</f>
        <v>500</v>
      </c>
      <c r="V4" s="3">
        <f>Forecast!V4</f>
        <v>500</v>
      </c>
      <c r="W4" s="3">
        <f>Forecast!W4</f>
        <v>500</v>
      </c>
      <c r="X4" s="3">
        <f>Forecast!X4</f>
        <v>500</v>
      </c>
      <c r="Y4" s="3">
        <f>Forecast!Y4</f>
        <v>500</v>
      </c>
      <c r="Z4" s="3">
        <f>Forecast!Z4</f>
        <v>400</v>
      </c>
      <c r="AA4" s="3">
        <f>Forecast!AA4</f>
        <v>430</v>
      </c>
      <c r="AB4" s="12">
        <f t="shared" ref="AB4:AB30" si="1">SUM(P4:AA4)</f>
        <v>5078</v>
      </c>
      <c r="AC4" s="149">
        <f>Forecast!AC4</f>
        <v>800</v>
      </c>
      <c r="AD4" s="149">
        <f>Forecast!AD4</f>
        <v>800</v>
      </c>
      <c r="AE4" s="149">
        <f>Forecast!AE4</f>
        <v>612</v>
      </c>
      <c r="AF4" s="149">
        <f>Forecast!AF4</f>
        <v>510</v>
      </c>
      <c r="AG4" s="149">
        <f>Forecast!AG4</f>
        <v>510</v>
      </c>
      <c r="AH4" s="149">
        <f>Forecast!AH4</f>
        <v>510</v>
      </c>
      <c r="AI4" s="149">
        <f>Forecast!AI4</f>
        <v>510</v>
      </c>
      <c r="AJ4" s="149">
        <f>Forecast!AJ4</f>
        <v>510</v>
      </c>
      <c r="AK4" s="149">
        <f>Forecast!AK4</f>
        <v>510</v>
      </c>
      <c r="AL4" s="149">
        <f>Forecast!AL4</f>
        <v>510</v>
      </c>
      <c r="AM4" s="149">
        <f>Forecast!AM4</f>
        <v>408</v>
      </c>
      <c r="AN4" s="149">
        <f>Forecast!AN4</f>
        <v>438.6</v>
      </c>
      <c r="AO4" s="12">
        <f t="shared" ref="AO4:AO31" si="2">SUM(AC4:AN4)</f>
        <v>6628.6</v>
      </c>
      <c r="AP4" s="148">
        <f t="shared" ref="AP4:AP23" si="3">AB4/O4-1</f>
        <v>-0.21320111558723276</v>
      </c>
    </row>
    <row r="5" spans="1:42" s="3" customFormat="1" x14ac:dyDescent="0.35">
      <c r="A5" s="3" t="s">
        <v>4</v>
      </c>
      <c r="B5" s="1" t="str">
        <f>Forecast!B5</f>
        <v>Al Fakher Lemon Mint 1kg</v>
      </c>
      <c r="C5" s="3">
        <v>165</v>
      </c>
      <c r="D5" s="3">
        <v>9</v>
      </c>
      <c r="E5" s="3">
        <v>587</v>
      </c>
      <c r="F5" s="3">
        <v>313</v>
      </c>
      <c r="G5" s="3">
        <v>195</v>
      </c>
      <c r="H5" s="3">
        <v>242</v>
      </c>
      <c r="I5" s="3">
        <v>489</v>
      </c>
      <c r="J5" s="3">
        <v>343</v>
      </c>
      <c r="K5" s="3">
        <v>348</v>
      </c>
      <c r="L5" s="3">
        <v>553</v>
      </c>
      <c r="M5" s="3">
        <v>457</v>
      </c>
      <c r="N5" s="3">
        <v>85</v>
      </c>
      <c r="O5" s="12">
        <f t="shared" si="0"/>
        <v>3786</v>
      </c>
      <c r="P5" s="145">
        <v>377</v>
      </c>
      <c r="Q5" s="150">
        <v>138</v>
      </c>
      <c r="R5" s="155">
        <v>94</v>
      </c>
      <c r="S5" s="3">
        <f>Forecast!S5</f>
        <v>450</v>
      </c>
      <c r="T5" s="3">
        <f>Forecast!T5</f>
        <v>450</v>
      </c>
      <c r="U5" s="3">
        <f>Forecast!U5</f>
        <v>450</v>
      </c>
      <c r="V5" s="3">
        <f>Forecast!V5</f>
        <v>500</v>
      </c>
      <c r="W5" s="3">
        <f>Forecast!W5</f>
        <v>500</v>
      </c>
      <c r="X5" s="3">
        <f>Forecast!X5</f>
        <v>500</v>
      </c>
      <c r="Y5" s="3">
        <f>Forecast!Y5</f>
        <v>450</v>
      </c>
      <c r="Z5" s="3">
        <f>Forecast!Z5</f>
        <v>450</v>
      </c>
      <c r="AA5" s="3">
        <f>Forecast!AA5</f>
        <v>350</v>
      </c>
      <c r="AB5" s="12">
        <f t="shared" si="1"/>
        <v>4709</v>
      </c>
      <c r="AC5" s="149">
        <f>Forecast!AC5</f>
        <v>400</v>
      </c>
      <c r="AD5" s="149">
        <f>Forecast!AD5</f>
        <v>400</v>
      </c>
      <c r="AE5" s="149">
        <f>Forecast!AE5</f>
        <v>408</v>
      </c>
      <c r="AF5" s="149">
        <f>Forecast!AF5</f>
        <v>459</v>
      </c>
      <c r="AG5" s="149">
        <f>Forecast!AG5</f>
        <v>459</v>
      </c>
      <c r="AH5" s="149">
        <f>Forecast!AH5</f>
        <v>459</v>
      </c>
      <c r="AI5" s="149">
        <f>Forecast!AI5</f>
        <v>510</v>
      </c>
      <c r="AJ5" s="149">
        <f>Forecast!AJ5</f>
        <v>510</v>
      </c>
      <c r="AK5" s="149">
        <f>Forecast!AK5</f>
        <v>510</v>
      </c>
      <c r="AL5" s="149">
        <f>Forecast!AL5</f>
        <v>459</v>
      </c>
      <c r="AM5" s="149">
        <f>Forecast!AM5</f>
        <v>459</v>
      </c>
      <c r="AN5" s="149">
        <f>Forecast!AN5</f>
        <v>357</v>
      </c>
      <c r="AO5" s="12">
        <f t="shared" si="2"/>
        <v>5390</v>
      </c>
      <c r="AP5" s="148">
        <f t="shared" si="3"/>
        <v>0.24379292128895935</v>
      </c>
    </row>
    <row r="6" spans="1:42" x14ac:dyDescent="0.35">
      <c r="A6" s="3" t="s">
        <v>4</v>
      </c>
      <c r="B6" s="1" t="str">
        <f>Forecast!B6</f>
        <v>Al Fakher Mint 1kg</v>
      </c>
      <c r="C6" s="3">
        <v>702</v>
      </c>
      <c r="D6" s="3">
        <v>198</v>
      </c>
      <c r="E6" s="3">
        <v>920</v>
      </c>
      <c r="F6" s="3">
        <v>200</v>
      </c>
      <c r="G6" s="3">
        <v>344</v>
      </c>
      <c r="H6" s="3">
        <v>65</v>
      </c>
      <c r="I6" s="3">
        <v>515</v>
      </c>
      <c r="J6" s="3">
        <v>348</v>
      </c>
      <c r="K6" s="3">
        <v>406</v>
      </c>
      <c r="L6" s="3">
        <v>644</v>
      </c>
      <c r="M6" s="3">
        <v>609</v>
      </c>
      <c r="N6" s="3">
        <v>56</v>
      </c>
      <c r="O6" s="12">
        <f t="shared" si="0"/>
        <v>5007</v>
      </c>
      <c r="P6" s="145">
        <v>300</v>
      </c>
      <c r="Q6" s="150">
        <v>49</v>
      </c>
      <c r="R6" s="155">
        <v>86</v>
      </c>
      <c r="S6" s="3">
        <f>Forecast!S6</f>
        <v>450</v>
      </c>
      <c r="T6" s="3">
        <f>Forecast!T6</f>
        <v>450</v>
      </c>
      <c r="U6" s="3">
        <f>Forecast!U6</f>
        <v>450</v>
      </c>
      <c r="V6" s="3">
        <f>Forecast!V6</f>
        <v>450</v>
      </c>
      <c r="W6" s="3">
        <f>Forecast!W6</f>
        <v>450</v>
      </c>
      <c r="X6" s="3">
        <f>Forecast!X6</f>
        <v>450</v>
      </c>
      <c r="Y6" s="3">
        <f>Forecast!Y6</f>
        <v>450</v>
      </c>
      <c r="Z6" s="3">
        <f>Forecast!Z6</f>
        <v>450</v>
      </c>
      <c r="AA6" s="3">
        <f>Forecast!AA6</f>
        <v>250</v>
      </c>
      <c r="AB6" s="12">
        <f t="shared" si="1"/>
        <v>4285</v>
      </c>
      <c r="AC6" s="149">
        <f>Forecast!AC6</f>
        <v>550</v>
      </c>
      <c r="AD6" s="149">
        <f>Forecast!AD6</f>
        <v>550</v>
      </c>
      <c r="AE6" s="149">
        <f>Forecast!AE6</f>
        <v>561</v>
      </c>
      <c r="AF6" s="149">
        <f>Forecast!AF6</f>
        <v>459</v>
      </c>
      <c r="AG6" s="149">
        <f>Forecast!AG6</f>
        <v>459</v>
      </c>
      <c r="AH6" s="149">
        <f>Forecast!AH6</f>
        <v>459</v>
      </c>
      <c r="AI6" s="149">
        <f>Forecast!AI6</f>
        <v>459</v>
      </c>
      <c r="AJ6" s="149">
        <f>Forecast!AJ6</f>
        <v>459</v>
      </c>
      <c r="AK6" s="149">
        <f>Forecast!AK6</f>
        <v>459</v>
      </c>
      <c r="AL6" s="149">
        <f>Forecast!AL6</f>
        <v>459</v>
      </c>
      <c r="AM6" s="149">
        <f>Forecast!AM6</f>
        <v>459</v>
      </c>
      <c r="AN6" s="149">
        <f>Forecast!AN6</f>
        <v>255</v>
      </c>
      <c r="AO6" s="12">
        <f t="shared" si="2"/>
        <v>5588</v>
      </c>
      <c r="AP6" s="148">
        <f t="shared" si="3"/>
        <v>-0.14419812262832032</v>
      </c>
    </row>
    <row r="7" spans="1:42" x14ac:dyDescent="0.35">
      <c r="A7" s="3" t="s">
        <v>4</v>
      </c>
      <c r="B7" s="1" t="str">
        <f>Forecast!B7</f>
        <v>Al Fakher Two apple 1kg</v>
      </c>
      <c r="C7" s="3">
        <v>0</v>
      </c>
      <c r="D7" s="3">
        <v>5157</v>
      </c>
      <c r="E7" s="3">
        <v>4029</v>
      </c>
      <c r="F7" s="3">
        <v>7101</v>
      </c>
      <c r="G7" s="3">
        <v>0</v>
      </c>
      <c r="H7" s="3">
        <v>870</v>
      </c>
      <c r="I7" s="3">
        <v>2311</v>
      </c>
      <c r="J7" s="3">
        <v>5000</v>
      </c>
      <c r="K7" s="3">
        <v>3353</v>
      </c>
      <c r="L7" s="3">
        <v>9975</v>
      </c>
      <c r="M7" s="3">
        <v>1155</v>
      </c>
      <c r="N7" s="3">
        <v>4888</v>
      </c>
      <c r="O7" s="12">
        <f t="shared" si="0"/>
        <v>43839</v>
      </c>
      <c r="P7" s="146">
        <v>2699</v>
      </c>
      <c r="Q7" s="151">
        <v>3455</v>
      </c>
      <c r="R7" s="155">
        <v>5574</v>
      </c>
      <c r="S7" s="3">
        <f>Forecast!S7</f>
        <v>5000</v>
      </c>
      <c r="T7" s="3">
        <f>Forecast!T7</f>
        <v>5000</v>
      </c>
      <c r="U7" s="3">
        <f>Forecast!U7</f>
        <v>5000</v>
      </c>
      <c r="V7" s="3">
        <f>Forecast!V7</f>
        <v>5500</v>
      </c>
      <c r="W7" s="3">
        <f>Forecast!W7</f>
        <v>5000</v>
      </c>
      <c r="X7" s="3">
        <f>Forecast!X7</f>
        <v>5000</v>
      </c>
      <c r="Y7" s="3">
        <f>Forecast!Y7</f>
        <v>4000</v>
      </c>
      <c r="Z7" s="3">
        <f>Forecast!Z7</f>
        <v>4000</v>
      </c>
      <c r="AA7" s="3">
        <f>Forecast!AA7</f>
        <v>3000</v>
      </c>
      <c r="AB7" s="12">
        <f t="shared" si="1"/>
        <v>53228</v>
      </c>
      <c r="AC7" s="149">
        <f>Forecast!AC7</f>
        <v>4000</v>
      </c>
      <c r="AD7" s="149">
        <f>Forecast!AD7</f>
        <v>4000</v>
      </c>
      <c r="AE7" s="149">
        <f>Forecast!AE7</f>
        <v>3570</v>
      </c>
      <c r="AF7" s="149">
        <f>Forecast!AF7</f>
        <v>5100</v>
      </c>
      <c r="AG7" s="149">
        <f>Forecast!AG7</f>
        <v>5100</v>
      </c>
      <c r="AH7" s="149">
        <f>Forecast!AH7</f>
        <v>5100</v>
      </c>
      <c r="AI7" s="149">
        <f>Forecast!AI7</f>
        <v>5610</v>
      </c>
      <c r="AJ7" s="149">
        <f>Forecast!AJ7</f>
        <v>5100</v>
      </c>
      <c r="AK7" s="149">
        <f>Forecast!AK7</f>
        <v>5100</v>
      </c>
      <c r="AL7" s="149">
        <f>Forecast!AL7</f>
        <v>4080</v>
      </c>
      <c r="AM7" s="149">
        <f>Forecast!AM7</f>
        <v>4080</v>
      </c>
      <c r="AN7" s="149">
        <f>Forecast!AN7</f>
        <v>3060</v>
      </c>
      <c r="AO7" s="12">
        <f t="shared" si="2"/>
        <v>53900</v>
      </c>
      <c r="AP7" s="148">
        <f t="shared" si="3"/>
        <v>0.21417003125071288</v>
      </c>
    </row>
    <row r="8" spans="1:42" x14ac:dyDescent="0.35">
      <c r="A8" s="1" t="s">
        <v>10</v>
      </c>
      <c r="B8" s="1" t="str">
        <f>Forecast!B8</f>
        <v>Al Fakher Grapes &amp; Mint 250g</v>
      </c>
      <c r="C8" s="3">
        <v>17</v>
      </c>
      <c r="D8" s="3">
        <v>21</v>
      </c>
      <c r="E8" s="3">
        <v>170</v>
      </c>
      <c r="F8" s="3">
        <v>131</v>
      </c>
      <c r="G8" s="3">
        <v>119</v>
      </c>
      <c r="H8" s="3">
        <v>120</v>
      </c>
      <c r="I8" s="3">
        <v>186</v>
      </c>
      <c r="J8" s="3">
        <v>177</v>
      </c>
      <c r="K8" s="3">
        <v>121</v>
      </c>
      <c r="L8" s="3">
        <v>128</v>
      </c>
      <c r="M8" s="3">
        <v>45</v>
      </c>
      <c r="N8" s="3">
        <v>52</v>
      </c>
      <c r="O8" s="12">
        <f t="shared" si="0"/>
        <v>1287</v>
      </c>
      <c r="P8" s="145">
        <v>173</v>
      </c>
      <c r="Q8" s="150">
        <v>95</v>
      </c>
      <c r="R8" s="155">
        <v>113</v>
      </c>
      <c r="S8" s="3">
        <f>Forecast!S8</f>
        <v>150</v>
      </c>
      <c r="T8" s="3">
        <f>Forecast!T8</f>
        <v>150</v>
      </c>
      <c r="U8" s="3">
        <f>Forecast!U8</f>
        <v>150</v>
      </c>
      <c r="V8" s="3">
        <f>Forecast!V8</f>
        <v>125</v>
      </c>
      <c r="W8" s="3">
        <f>Forecast!W8</f>
        <v>125</v>
      </c>
      <c r="X8" s="3">
        <f>Forecast!X8</f>
        <v>125</v>
      </c>
      <c r="Y8" s="3">
        <f>Forecast!Y8</f>
        <v>125</v>
      </c>
      <c r="Z8" s="3">
        <f>Forecast!Z8</f>
        <v>125</v>
      </c>
      <c r="AA8" s="3">
        <f>Forecast!AA8</f>
        <v>100</v>
      </c>
      <c r="AB8" s="12">
        <f t="shared" si="1"/>
        <v>1556</v>
      </c>
      <c r="AC8" s="149">
        <f>Forecast!AC8</f>
        <v>125</v>
      </c>
      <c r="AD8" s="149">
        <f>Forecast!AD8</f>
        <v>140</v>
      </c>
      <c r="AE8" s="149">
        <f>Forecast!AE8</f>
        <v>127.5</v>
      </c>
      <c r="AF8" s="149">
        <f>Forecast!AF8</f>
        <v>153</v>
      </c>
      <c r="AG8" s="149">
        <f>Forecast!AG8</f>
        <v>153</v>
      </c>
      <c r="AH8" s="149">
        <f>Forecast!AH8</f>
        <v>153</v>
      </c>
      <c r="AI8" s="149">
        <f>Forecast!AI8</f>
        <v>127.5</v>
      </c>
      <c r="AJ8" s="149">
        <f>Forecast!AJ8</f>
        <v>127.5</v>
      </c>
      <c r="AK8" s="149">
        <f>Forecast!AK8</f>
        <v>127.5</v>
      </c>
      <c r="AL8" s="149">
        <f>Forecast!AL8</f>
        <v>127.5</v>
      </c>
      <c r="AM8" s="149">
        <f>Forecast!AM8</f>
        <v>127.5</v>
      </c>
      <c r="AN8" s="149">
        <f>Forecast!AN8</f>
        <v>102</v>
      </c>
      <c r="AO8" s="12">
        <f t="shared" si="2"/>
        <v>1591</v>
      </c>
      <c r="AP8" s="148">
        <f t="shared" si="3"/>
        <v>0.20901320901320908</v>
      </c>
    </row>
    <row r="9" spans="1:42" x14ac:dyDescent="0.35">
      <c r="A9" s="1" t="s">
        <v>10</v>
      </c>
      <c r="B9" s="1" t="str">
        <f>Forecast!B9</f>
        <v>Al Fakher Grapes 250g</v>
      </c>
      <c r="C9" s="3">
        <v>0</v>
      </c>
      <c r="D9" s="3">
        <v>411</v>
      </c>
      <c r="E9" s="3">
        <v>381</v>
      </c>
      <c r="F9" s="3">
        <v>179</v>
      </c>
      <c r="G9" s="3">
        <v>0</v>
      </c>
      <c r="H9" s="3">
        <v>331</v>
      </c>
      <c r="I9" s="3">
        <v>58</v>
      </c>
      <c r="J9" s="3">
        <v>0</v>
      </c>
      <c r="K9" s="3">
        <v>463</v>
      </c>
      <c r="L9" s="3">
        <v>343</v>
      </c>
      <c r="M9" s="3">
        <v>170</v>
      </c>
      <c r="N9" s="3">
        <v>31</v>
      </c>
      <c r="O9" s="12">
        <f t="shared" si="0"/>
        <v>2367</v>
      </c>
      <c r="P9" s="145">
        <v>234</v>
      </c>
      <c r="Q9" s="150">
        <v>48</v>
      </c>
      <c r="R9" s="155">
        <v>69</v>
      </c>
      <c r="S9" s="3">
        <f>Forecast!S9</f>
        <v>250</v>
      </c>
      <c r="T9" s="3">
        <f>Forecast!T9</f>
        <v>250</v>
      </c>
      <c r="U9" s="3">
        <f>Forecast!U9</f>
        <v>250</v>
      </c>
      <c r="V9" s="3">
        <f>Forecast!V9</f>
        <v>200</v>
      </c>
      <c r="W9" s="3">
        <f>Forecast!W9</f>
        <v>200</v>
      </c>
      <c r="X9" s="3">
        <f>Forecast!X9</f>
        <v>200</v>
      </c>
      <c r="Y9" s="3">
        <f>Forecast!Y9</f>
        <v>200</v>
      </c>
      <c r="Z9" s="3">
        <f>Forecast!Z9</f>
        <v>200</v>
      </c>
      <c r="AA9" s="3">
        <f>Forecast!AA9</f>
        <v>150</v>
      </c>
      <c r="AB9" s="12">
        <f t="shared" si="1"/>
        <v>2251</v>
      </c>
      <c r="AC9" s="149">
        <f>Forecast!AC9</f>
        <v>250</v>
      </c>
      <c r="AD9" s="149">
        <f>Forecast!AD9</f>
        <v>200</v>
      </c>
      <c r="AE9" s="149">
        <f>Forecast!AE9</f>
        <v>204</v>
      </c>
      <c r="AF9" s="149">
        <f>Forecast!AF9</f>
        <v>255</v>
      </c>
      <c r="AG9" s="149">
        <f>Forecast!AG9</f>
        <v>255</v>
      </c>
      <c r="AH9" s="149">
        <f>Forecast!AH9</f>
        <v>255</v>
      </c>
      <c r="AI9" s="149">
        <f>Forecast!AI9</f>
        <v>204</v>
      </c>
      <c r="AJ9" s="149">
        <f>Forecast!AJ9</f>
        <v>204</v>
      </c>
      <c r="AK9" s="149">
        <f>Forecast!AK9</f>
        <v>204</v>
      </c>
      <c r="AL9" s="149">
        <f>Forecast!AL9</f>
        <v>204</v>
      </c>
      <c r="AM9" s="149">
        <f>Forecast!AM9</f>
        <v>204</v>
      </c>
      <c r="AN9" s="149">
        <f>Forecast!AN9</f>
        <v>153</v>
      </c>
      <c r="AO9" s="12">
        <f t="shared" si="2"/>
        <v>2592</v>
      </c>
      <c r="AP9" s="148">
        <f t="shared" si="3"/>
        <v>-4.9007182087030032E-2</v>
      </c>
    </row>
    <row r="10" spans="1:42" x14ac:dyDescent="0.35">
      <c r="A10" s="1" t="s">
        <v>10</v>
      </c>
      <c r="B10" s="1" t="str">
        <f>Forecast!B10</f>
        <v>Al Fakher Lemon Mint 250g</v>
      </c>
      <c r="C10" s="3">
        <v>0</v>
      </c>
      <c r="D10" s="3">
        <v>2</v>
      </c>
      <c r="E10" s="3">
        <v>191</v>
      </c>
      <c r="F10" s="3">
        <v>233</v>
      </c>
      <c r="G10" s="3">
        <v>144</v>
      </c>
      <c r="H10" s="3">
        <v>150</v>
      </c>
      <c r="I10" s="3">
        <v>133</v>
      </c>
      <c r="J10" s="3">
        <v>270</v>
      </c>
      <c r="K10" s="3">
        <v>97</v>
      </c>
      <c r="L10" s="3">
        <v>308</v>
      </c>
      <c r="M10" s="3">
        <v>118</v>
      </c>
      <c r="N10" s="3">
        <v>50</v>
      </c>
      <c r="O10" s="12">
        <f t="shared" si="0"/>
        <v>1696</v>
      </c>
      <c r="P10" s="145">
        <v>245</v>
      </c>
      <c r="Q10" s="150">
        <v>119</v>
      </c>
      <c r="R10" s="155">
        <v>82</v>
      </c>
      <c r="S10" s="3">
        <f>Forecast!S10</f>
        <v>175</v>
      </c>
      <c r="T10" s="3">
        <f>Forecast!T10</f>
        <v>175</v>
      </c>
      <c r="U10" s="3">
        <f>Forecast!U10</f>
        <v>200</v>
      </c>
      <c r="V10" s="3">
        <f>Forecast!V10</f>
        <v>200</v>
      </c>
      <c r="W10" s="3">
        <f>Forecast!W10</f>
        <v>200</v>
      </c>
      <c r="X10" s="3">
        <f>Forecast!X10</f>
        <v>200</v>
      </c>
      <c r="Y10" s="3">
        <f>Forecast!Y10</f>
        <v>175</v>
      </c>
      <c r="Z10" s="3">
        <f>Forecast!Z10</f>
        <v>150</v>
      </c>
      <c r="AA10" s="3">
        <f>Forecast!AA10</f>
        <v>150</v>
      </c>
      <c r="AB10" s="12">
        <f t="shared" si="1"/>
        <v>2071</v>
      </c>
      <c r="AC10" s="149">
        <f>Forecast!AC10</f>
        <v>175</v>
      </c>
      <c r="AD10" s="149">
        <f>Forecast!AD10</f>
        <v>175</v>
      </c>
      <c r="AE10" s="149">
        <f>Forecast!AE10</f>
        <v>178.5</v>
      </c>
      <c r="AF10" s="149">
        <f>Forecast!AF10</f>
        <v>178.5</v>
      </c>
      <c r="AG10" s="149">
        <f>Forecast!AG10</f>
        <v>178.5</v>
      </c>
      <c r="AH10" s="149">
        <f>Forecast!AH10</f>
        <v>204</v>
      </c>
      <c r="AI10" s="149">
        <f>Forecast!AI10</f>
        <v>204</v>
      </c>
      <c r="AJ10" s="149">
        <f>Forecast!AJ10</f>
        <v>204</v>
      </c>
      <c r="AK10" s="149">
        <f>Forecast!AK10</f>
        <v>204</v>
      </c>
      <c r="AL10" s="149">
        <f>Forecast!AL10</f>
        <v>178.5</v>
      </c>
      <c r="AM10" s="149">
        <f>Forecast!AM10</f>
        <v>153</v>
      </c>
      <c r="AN10" s="149">
        <f>Forecast!AN10</f>
        <v>153</v>
      </c>
      <c r="AO10" s="12">
        <f t="shared" si="2"/>
        <v>2186</v>
      </c>
      <c r="AP10" s="148">
        <f t="shared" si="3"/>
        <v>0.22110849056603765</v>
      </c>
    </row>
    <row r="11" spans="1:42" x14ac:dyDescent="0.35">
      <c r="A11" s="1" t="s">
        <v>10</v>
      </c>
      <c r="B11" s="1" t="str">
        <f>Forecast!B11</f>
        <v>Al Fakher Two apple 250g</v>
      </c>
      <c r="C11" s="3">
        <v>3023</v>
      </c>
      <c r="D11" s="3">
        <v>2253</v>
      </c>
      <c r="E11" s="3">
        <v>2242</v>
      </c>
      <c r="F11" s="3">
        <v>4299</v>
      </c>
      <c r="G11" s="3">
        <v>0</v>
      </c>
      <c r="H11" s="3">
        <v>2351</v>
      </c>
      <c r="I11" s="3">
        <v>998</v>
      </c>
      <c r="J11" s="3">
        <v>6457</v>
      </c>
      <c r="K11" s="3">
        <v>3376</v>
      </c>
      <c r="L11" s="3">
        <v>4915</v>
      </c>
      <c r="M11" s="3">
        <v>7421</v>
      </c>
      <c r="N11" s="3">
        <v>0</v>
      </c>
      <c r="O11" s="12">
        <f t="shared" si="0"/>
        <v>37335</v>
      </c>
      <c r="P11" s="146">
        <v>6920</v>
      </c>
      <c r="Q11" s="151">
        <v>3648</v>
      </c>
      <c r="R11" s="155">
        <v>4177</v>
      </c>
      <c r="S11" s="3">
        <f>Forecast!S11</f>
        <v>4500</v>
      </c>
      <c r="T11" s="3">
        <f>Forecast!T11</f>
        <v>4500</v>
      </c>
      <c r="U11" s="3">
        <f>Forecast!U11</f>
        <v>4500</v>
      </c>
      <c r="V11" s="3">
        <f>Forecast!V11</f>
        <v>5000</v>
      </c>
      <c r="W11" s="3">
        <f>Forecast!W11</f>
        <v>5000</v>
      </c>
      <c r="X11" s="3">
        <f>Forecast!X11</f>
        <v>3500</v>
      </c>
      <c r="Y11" s="3">
        <f>Forecast!Y11</f>
        <v>3500</v>
      </c>
      <c r="Z11" s="3">
        <f>Forecast!Z11</f>
        <v>3500</v>
      </c>
      <c r="AA11" s="3">
        <f>Forecast!AA11</f>
        <v>3000</v>
      </c>
      <c r="AB11" s="12">
        <f t="shared" si="1"/>
        <v>51745</v>
      </c>
      <c r="AC11" s="149">
        <f>Forecast!AC11</f>
        <v>5500</v>
      </c>
      <c r="AD11" s="149">
        <f>Forecast!AD11</f>
        <v>5000</v>
      </c>
      <c r="AE11" s="149">
        <f>Forecast!AE11</f>
        <v>5100</v>
      </c>
      <c r="AF11" s="149">
        <f>Forecast!AF11</f>
        <v>4590</v>
      </c>
      <c r="AG11" s="149">
        <f>Forecast!AG11</f>
        <v>4590</v>
      </c>
      <c r="AH11" s="149">
        <f>Forecast!AH11</f>
        <v>4590</v>
      </c>
      <c r="AI11" s="149">
        <f>Forecast!AI11</f>
        <v>5100</v>
      </c>
      <c r="AJ11" s="149">
        <f>Forecast!AJ11</f>
        <v>5100</v>
      </c>
      <c r="AK11" s="149">
        <f>Forecast!AK11</f>
        <v>3570</v>
      </c>
      <c r="AL11" s="149">
        <f>Forecast!AL11</f>
        <v>3570</v>
      </c>
      <c r="AM11" s="149">
        <f>Forecast!AM11</f>
        <v>3570</v>
      </c>
      <c r="AN11" s="149">
        <f>Forecast!AN11</f>
        <v>3060</v>
      </c>
      <c r="AO11" s="12">
        <f t="shared" si="2"/>
        <v>53340</v>
      </c>
      <c r="AP11" s="148">
        <f t="shared" si="3"/>
        <v>0.38596491228070184</v>
      </c>
    </row>
    <row r="12" spans="1:42" x14ac:dyDescent="0.35">
      <c r="A12" s="1" t="s">
        <v>10</v>
      </c>
      <c r="B12" s="1" t="str">
        <f>Forecast!B12</f>
        <v>Al Fakher Two Apple Bahraini  250g</v>
      </c>
      <c r="C12" s="3">
        <v>300</v>
      </c>
      <c r="D12" s="3">
        <v>0</v>
      </c>
      <c r="E12" s="3">
        <v>555</v>
      </c>
      <c r="F12" s="3">
        <v>79</v>
      </c>
      <c r="G12" s="3">
        <v>8</v>
      </c>
      <c r="H12" s="3">
        <v>264</v>
      </c>
      <c r="I12" s="3">
        <v>58</v>
      </c>
      <c r="J12" s="3">
        <v>60</v>
      </c>
      <c r="K12" s="3">
        <v>537</v>
      </c>
      <c r="L12" s="3">
        <v>94</v>
      </c>
      <c r="M12" s="3">
        <v>400</v>
      </c>
      <c r="N12" s="3">
        <v>50</v>
      </c>
      <c r="O12" s="12">
        <f>SUM(C12:N12)</f>
        <v>2405</v>
      </c>
      <c r="P12" s="145">
        <v>229</v>
      </c>
      <c r="Q12" s="150">
        <v>26</v>
      </c>
      <c r="R12" s="155">
        <v>58</v>
      </c>
      <c r="S12" s="3">
        <f>Forecast!S12</f>
        <v>300</v>
      </c>
      <c r="T12" s="3">
        <f>Forecast!T12</f>
        <v>250</v>
      </c>
      <c r="U12" s="3">
        <f>Forecast!U12</f>
        <v>250</v>
      </c>
      <c r="V12" s="3">
        <f>Forecast!V12</f>
        <v>250</v>
      </c>
      <c r="W12" s="3">
        <f>Forecast!W12</f>
        <v>250</v>
      </c>
      <c r="X12" s="3">
        <f>Forecast!X12</f>
        <v>250</v>
      </c>
      <c r="Y12" s="3">
        <f>Forecast!Y12</f>
        <v>200</v>
      </c>
      <c r="Z12" s="3">
        <f>Forecast!Z12</f>
        <v>200</v>
      </c>
      <c r="AA12" s="3">
        <f>Forecast!AA12</f>
        <v>200</v>
      </c>
      <c r="AB12" s="12">
        <f t="shared" si="1"/>
        <v>2463</v>
      </c>
      <c r="AC12" s="149">
        <f>Forecast!AC12</f>
        <v>200</v>
      </c>
      <c r="AD12" s="149">
        <f>Forecast!AD12</f>
        <v>200</v>
      </c>
      <c r="AE12" s="149">
        <f>Forecast!AE12</f>
        <v>204</v>
      </c>
      <c r="AF12" s="149">
        <f>Forecast!AF12</f>
        <v>306</v>
      </c>
      <c r="AG12" s="149">
        <f>Forecast!AG12</f>
        <v>255</v>
      </c>
      <c r="AH12" s="149">
        <f>Forecast!AH12</f>
        <v>255</v>
      </c>
      <c r="AI12" s="149">
        <f>Forecast!AI12</f>
        <v>255</v>
      </c>
      <c r="AJ12" s="149">
        <f>Forecast!AJ12</f>
        <v>255</v>
      </c>
      <c r="AK12" s="149">
        <f>Forecast!AK12</f>
        <v>255</v>
      </c>
      <c r="AL12" s="149">
        <f>Forecast!AL12</f>
        <v>204</v>
      </c>
      <c r="AM12" s="149">
        <f>Forecast!AM12</f>
        <v>204</v>
      </c>
      <c r="AN12" s="149">
        <f>Forecast!AN12</f>
        <v>204</v>
      </c>
      <c r="AO12" s="12">
        <f t="shared" si="2"/>
        <v>2797</v>
      </c>
      <c r="AP12" s="148">
        <f t="shared" si="3"/>
        <v>2.4116424116424007E-2</v>
      </c>
    </row>
    <row r="13" spans="1:42" x14ac:dyDescent="0.35">
      <c r="A13" s="1" t="s">
        <v>16</v>
      </c>
      <c r="B13" s="1" t="str">
        <f>Forecast!B13</f>
        <v>Al Fakher Blueberry Mint 50g</v>
      </c>
      <c r="C13" s="3">
        <v>0</v>
      </c>
      <c r="D13" s="3">
        <v>1</v>
      </c>
      <c r="E13" s="3">
        <v>0</v>
      </c>
      <c r="F13" s="3">
        <v>0</v>
      </c>
      <c r="G13" s="3">
        <v>0</v>
      </c>
      <c r="H13" s="3">
        <v>25</v>
      </c>
      <c r="I13" s="3">
        <v>3</v>
      </c>
      <c r="J13" s="3">
        <v>5</v>
      </c>
      <c r="K13" s="3">
        <v>20</v>
      </c>
      <c r="L13" s="3">
        <v>21</v>
      </c>
      <c r="M13" s="3">
        <v>0</v>
      </c>
      <c r="N13" s="3">
        <v>0</v>
      </c>
      <c r="O13" s="12">
        <f t="shared" si="0"/>
        <v>75</v>
      </c>
      <c r="P13" s="147">
        <v>0</v>
      </c>
      <c r="Q13" s="152">
        <v>0</v>
      </c>
      <c r="R13" s="155">
        <v>0</v>
      </c>
      <c r="S13" s="3">
        <f>Forecast!S13</f>
        <v>0</v>
      </c>
      <c r="T13" s="3">
        <f>Forecast!T13</f>
        <v>0</v>
      </c>
      <c r="U13" s="3">
        <f>Forecast!U13</f>
        <v>0</v>
      </c>
      <c r="V13" s="3">
        <f>Forecast!V13</f>
        <v>0</v>
      </c>
      <c r="W13" s="3">
        <f>Forecast!W13</f>
        <v>0</v>
      </c>
      <c r="X13" s="3">
        <f>Forecast!X13</f>
        <v>0</v>
      </c>
      <c r="Y13" s="3">
        <f>Forecast!Y13</f>
        <v>0</v>
      </c>
      <c r="Z13" s="3">
        <f>Forecast!Z13</f>
        <v>0</v>
      </c>
      <c r="AA13" s="3">
        <f>Forecast!AA13</f>
        <v>0</v>
      </c>
      <c r="AB13" s="12">
        <f t="shared" si="1"/>
        <v>0</v>
      </c>
      <c r="AC13" s="149">
        <f>Forecast!AC13</f>
        <v>0</v>
      </c>
      <c r="AD13" s="149">
        <f>Forecast!AD13</f>
        <v>0</v>
      </c>
      <c r="AE13" s="149">
        <f>Forecast!AE13</f>
        <v>0</v>
      </c>
      <c r="AF13" s="149">
        <f>Forecast!AF13</f>
        <v>0</v>
      </c>
      <c r="AG13" s="149">
        <f>Forecast!AG13</f>
        <v>0</v>
      </c>
      <c r="AH13" s="149">
        <f>Forecast!AH13</f>
        <v>0</v>
      </c>
      <c r="AI13" s="149">
        <f>Forecast!AI13</f>
        <v>0</v>
      </c>
      <c r="AJ13" s="149">
        <f>Forecast!AJ13</f>
        <v>0</v>
      </c>
      <c r="AK13" s="149">
        <f>Forecast!AK13</f>
        <v>0</v>
      </c>
      <c r="AL13" s="149">
        <f>Forecast!AL13</f>
        <v>0</v>
      </c>
      <c r="AM13" s="149">
        <f>Forecast!AM13</f>
        <v>0</v>
      </c>
      <c r="AN13" s="149">
        <f>Forecast!AN13</f>
        <v>0</v>
      </c>
      <c r="AO13" s="12">
        <f t="shared" si="2"/>
        <v>0</v>
      </c>
      <c r="AP13" s="148"/>
    </row>
    <row r="14" spans="1:42" x14ac:dyDescent="0.35">
      <c r="A14" s="1" t="s">
        <v>16</v>
      </c>
      <c r="B14" s="1" t="str">
        <f>Forecast!B14</f>
        <v>Al Fakher Blueberry 50g</v>
      </c>
      <c r="C14" s="3">
        <v>0</v>
      </c>
      <c r="D14" s="3">
        <v>0</v>
      </c>
      <c r="E14" s="3">
        <v>5</v>
      </c>
      <c r="F14" s="3">
        <v>86</v>
      </c>
      <c r="G14" s="3">
        <v>5</v>
      </c>
      <c r="H14" s="3">
        <v>14</v>
      </c>
      <c r="I14" s="3">
        <v>60</v>
      </c>
      <c r="J14" s="3">
        <v>4</v>
      </c>
      <c r="K14" s="3">
        <v>74</v>
      </c>
      <c r="L14" s="3">
        <v>89</v>
      </c>
      <c r="M14" s="3">
        <v>0</v>
      </c>
      <c r="N14" s="3">
        <v>0</v>
      </c>
      <c r="O14" s="12">
        <f t="shared" si="0"/>
        <v>337</v>
      </c>
      <c r="P14" s="145">
        <v>13</v>
      </c>
      <c r="Q14" s="150">
        <v>23</v>
      </c>
      <c r="R14" s="155">
        <v>42</v>
      </c>
      <c r="S14" s="3">
        <f>Forecast!S14</f>
        <v>30</v>
      </c>
      <c r="T14" s="3">
        <f>Forecast!T14</f>
        <v>60</v>
      </c>
      <c r="U14" s="3">
        <f>Forecast!U14</f>
        <v>60</v>
      </c>
      <c r="V14" s="3">
        <f>Forecast!V14</f>
        <v>60</v>
      </c>
      <c r="W14" s="3">
        <f>Forecast!W14</f>
        <v>60</v>
      </c>
      <c r="X14" s="3">
        <f>Forecast!X14</f>
        <v>60</v>
      </c>
      <c r="Y14" s="3">
        <f>Forecast!Y14</f>
        <v>60</v>
      </c>
      <c r="Z14" s="3">
        <f>Forecast!Z14</f>
        <v>60</v>
      </c>
      <c r="AA14" s="3">
        <f>Forecast!AA14</f>
        <v>30</v>
      </c>
      <c r="AB14" s="12">
        <f t="shared" si="1"/>
        <v>558</v>
      </c>
      <c r="AC14" s="149">
        <f>Forecast!AC14</f>
        <v>150</v>
      </c>
      <c r="AD14" s="149">
        <f>Forecast!AD14</f>
        <v>75</v>
      </c>
      <c r="AE14" s="149">
        <f>Forecast!AE14</f>
        <v>30.6</v>
      </c>
      <c r="AF14" s="149">
        <f>Forecast!AF14</f>
        <v>30.6</v>
      </c>
      <c r="AG14" s="149">
        <f>Forecast!AG14</f>
        <v>61.2</v>
      </c>
      <c r="AH14" s="149">
        <f>Forecast!AH14</f>
        <v>61.2</v>
      </c>
      <c r="AI14" s="149">
        <f>Forecast!AI14</f>
        <v>61.2</v>
      </c>
      <c r="AJ14" s="149">
        <f>Forecast!AJ14</f>
        <v>61.2</v>
      </c>
      <c r="AK14" s="149">
        <f>Forecast!AK14</f>
        <v>61.2</v>
      </c>
      <c r="AL14" s="149">
        <f>Forecast!AL14</f>
        <v>61.2</v>
      </c>
      <c r="AM14" s="149">
        <f>Forecast!AM14</f>
        <v>61.2</v>
      </c>
      <c r="AN14" s="149">
        <f>Forecast!AN14</f>
        <v>30.6</v>
      </c>
      <c r="AO14" s="12">
        <f t="shared" si="2"/>
        <v>745.20000000000016</v>
      </c>
      <c r="AP14" s="148">
        <f t="shared" si="3"/>
        <v>0.65578635014836806</v>
      </c>
    </row>
    <row r="15" spans="1:42" x14ac:dyDescent="0.35">
      <c r="A15" s="1" t="s">
        <v>16</v>
      </c>
      <c r="B15" s="1" t="str">
        <f>Forecast!B15</f>
        <v>Al Fakher Buble Gum 50g</v>
      </c>
      <c r="C15" s="3">
        <v>0</v>
      </c>
      <c r="D15" s="3">
        <v>1</v>
      </c>
      <c r="E15" s="3">
        <v>0</v>
      </c>
      <c r="F15" s="3">
        <v>1</v>
      </c>
      <c r="G15" s="3">
        <v>0</v>
      </c>
      <c r="H15" s="3">
        <v>1</v>
      </c>
      <c r="I15" s="3">
        <v>0</v>
      </c>
      <c r="J15" s="3">
        <v>0</v>
      </c>
      <c r="K15" s="3">
        <v>1</v>
      </c>
      <c r="L15" s="3">
        <v>24</v>
      </c>
      <c r="M15" s="3">
        <v>3</v>
      </c>
      <c r="N15" s="3">
        <v>0</v>
      </c>
      <c r="O15" s="12">
        <f t="shared" si="0"/>
        <v>31</v>
      </c>
      <c r="P15" s="145">
        <v>2</v>
      </c>
      <c r="Q15" s="150">
        <v>5</v>
      </c>
      <c r="R15" s="155">
        <v>0</v>
      </c>
      <c r="S15" s="3">
        <f>Forecast!S15</f>
        <v>0</v>
      </c>
      <c r="T15" s="3">
        <f>Forecast!T15</f>
        <v>0</v>
      </c>
      <c r="U15" s="3">
        <f>Forecast!U15</f>
        <v>0</v>
      </c>
      <c r="V15" s="3">
        <f>Forecast!V15</f>
        <v>0</v>
      </c>
      <c r="W15" s="3">
        <f>Forecast!W15</f>
        <v>0</v>
      </c>
      <c r="X15" s="3">
        <f>Forecast!X15</f>
        <v>0</v>
      </c>
      <c r="Y15" s="3">
        <f>Forecast!Y15</f>
        <v>0</v>
      </c>
      <c r="Z15" s="3">
        <f>Forecast!Z15</f>
        <v>0</v>
      </c>
      <c r="AA15" s="3">
        <f>Forecast!AA15</f>
        <v>0</v>
      </c>
      <c r="AB15" s="12">
        <f t="shared" si="1"/>
        <v>7</v>
      </c>
      <c r="AC15" s="149">
        <f>Forecast!AC15</f>
        <v>0</v>
      </c>
      <c r="AD15" s="149">
        <f>Forecast!AD15</f>
        <v>0</v>
      </c>
      <c r="AE15" s="149">
        <f>Forecast!AE15</f>
        <v>0</v>
      </c>
      <c r="AF15" s="149">
        <f>Forecast!AF15</f>
        <v>0</v>
      </c>
      <c r="AG15" s="149">
        <f>Forecast!AG15</f>
        <v>0</v>
      </c>
      <c r="AH15" s="149">
        <f>Forecast!AH15</f>
        <v>0</v>
      </c>
      <c r="AI15" s="149">
        <f>Forecast!AI15</f>
        <v>0</v>
      </c>
      <c r="AJ15" s="149">
        <f>Forecast!AJ15</f>
        <v>0</v>
      </c>
      <c r="AK15" s="149">
        <f>Forecast!AK15</f>
        <v>0</v>
      </c>
      <c r="AL15" s="149">
        <f>Forecast!AL15</f>
        <v>0</v>
      </c>
      <c r="AM15" s="149">
        <f>Forecast!AM15</f>
        <v>0</v>
      </c>
      <c r="AN15" s="149">
        <f>Forecast!AN15</f>
        <v>0</v>
      </c>
      <c r="AO15" s="12">
        <f t="shared" si="2"/>
        <v>0</v>
      </c>
      <c r="AP15" s="148"/>
    </row>
    <row r="16" spans="1:42" x14ac:dyDescent="0.35">
      <c r="A16" s="1" t="s">
        <v>16</v>
      </c>
      <c r="B16" s="1" t="str">
        <f>Forecast!B16</f>
        <v>Al Fakher Grapes &amp; Mint 50g</v>
      </c>
      <c r="C16" s="3">
        <v>224</v>
      </c>
      <c r="D16" s="3">
        <v>19</v>
      </c>
      <c r="E16" s="3">
        <v>241</v>
      </c>
      <c r="F16" s="3">
        <v>156</v>
      </c>
      <c r="G16" s="3">
        <v>106</v>
      </c>
      <c r="H16" s="3">
        <v>192</v>
      </c>
      <c r="I16" s="3">
        <v>188</v>
      </c>
      <c r="J16" s="3">
        <v>213</v>
      </c>
      <c r="K16" s="3">
        <v>390</v>
      </c>
      <c r="L16" s="3">
        <v>389</v>
      </c>
      <c r="M16" s="3">
        <v>210</v>
      </c>
      <c r="N16" s="3">
        <v>46</v>
      </c>
      <c r="O16" s="12">
        <f t="shared" si="0"/>
        <v>2374</v>
      </c>
      <c r="P16" s="145">
        <v>223</v>
      </c>
      <c r="Q16" s="150">
        <v>83</v>
      </c>
      <c r="R16" s="155">
        <v>67</v>
      </c>
      <c r="S16" s="3">
        <f>Forecast!S16</f>
        <v>243</v>
      </c>
      <c r="T16" s="3">
        <f>Forecast!T16</f>
        <v>139</v>
      </c>
      <c r="U16" s="3">
        <f>Forecast!U16</f>
        <v>270</v>
      </c>
      <c r="V16" s="3">
        <f>Forecast!V16</f>
        <v>270</v>
      </c>
      <c r="W16" s="3">
        <f>Forecast!W16</f>
        <v>270</v>
      </c>
      <c r="X16" s="3">
        <f>Forecast!X16</f>
        <v>250</v>
      </c>
      <c r="Y16" s="3">
        <f>Forecast!Y16</f>
        <v>250</v>
      </c>
      <c r="Z16" s="3">
        <f>Forecast!Z16</f>
        <v>200</v>
      </c>
      <c r="AA16" s="3">
        <f>Forecast!AA16</f>
        <v>200</v>
      </c>
      <c r="AB16" s="12">
        <f t="shared" si="1"/>
        <v>2465</v>
      </c>
      <c r="AC16" s="149">
        <f>Forecast!AC16</f>
        <v>230</v>
      </c>
      <c r="AD16" s="149">
        <f>Forecast!AD16</f>
        <v>230</v>
      </c>
      <c r="AE16" s="149">
        <f>Forecast!AE16</f>
        <v>234.6</v>
      </c>
      <c r="AF16" s="149">
        <f>Forecast!AF16</f>
        <v>247.86</v>
      </c>
      <c r="AG16" s="149">
        <f>Forecast!AG16</f>
        <v>141.78</v>
      </c>
      <c r="AH16" s="149">
        <f>Forecast!AH16</f>
        <v>275.39999999999998</v>
      </c>
      <c r="AI16" s="149">
        <f>Forecast!AI16</f>
        <v>275.39999999999998</v>
      </c>
      <c r="AJ16" s="149">
        <f>Forecast!AJ16</f>
        <v>275.39999999999998</v>
      </c>
      <c r="AK16" s="149">
        <f>Forecast!AK16</f>
        <v>255</v>
      </c>
      <c r="AL16" s="149">
        <f>Forecast!AL16</f>
        <v>255</v>
      </c>
      <c r="AM16" s="149">
        <f>Forecast!AM16</f>
        <v>204</v>
      </c>
      <c r="AN16" s="149">
        <f>Forecast!AN16</f>
        <v>204</v>
      </c>
      <c r="AO16" s="12">
        <f t="shared" si="2"/>
        <v>2828.44</v>
      </c>
      <c r="AP16" s="148">
        <f t="shared" si="3"/>
        <v>3.8331929233361484E-2</v>
      </c>
    </row>
    <row r="17" spans="1:42" x14ac:dyDescent="0.35">
      <c r="A17" s="1" t="s">
        <v>16</v>
      </c>
      <c r="B17" s="1" t="str">
        <f>Forecast!B17</f>
        <v>Al Fakher Grapes 50g</v>
      </c>
      <c r="C17" s="3">
        <v>248</v>
      </c>
      <c r="D17" s="3">
        <v>0</v>
      </c>
      <c r="E17" s="3">
        <v>800</v>
      </c>
      <c r="F17" s="3">
        <v>187</v>
      </c>
      <c r="G17" s="3">
        <v>0</v>
      </c>
      <c r="H17" s="3">
        <v>354</v>
      </c>
      <c r="I17" s="3">
        <v>540</v>
      </c>
      <c r="J17" s="3">
        <v>313</v>
      </c>
      <c r="K17" s="3">
        <v>256</v>
      </c>
      <c r="L17" s="3">
        <v>457</v>
      </c>
      <c r="M17" s="3">
        <v>273</v>
      </c>
      <c r="N17" s="3">
        <v>58</v>
      </c>
      <c r="O17" s="12">
        <f t="shared" si="0"/>
        <v>3486</v>
      </c>
      <c r="P17" s="145">
        <v>343</v>
      </c>
      <c r="Q17" s="150">
        <v>90</v>
      </c>
      <c r="R17" s="155">
        <v>136</v>
      </c>
      <c r="S17" s="3">
        <f>Forecast!S17</f>
        <v>450</v>
      </c>
      <c r="T17" s="3">
        <f>Forecast!T17</f>
        <v>450</v>
      </c>
      <c r="U17" s="3">
        <f>Forecast!U17</f>
        <v>450</v>
      </c>
      <c r="V17" s="3">
        <f>Forecast!V17</f>
        <v>400</v>
      </c>
      <c r="W17" s="3">
        <f>Forecast!W17</f>
        <v>400</v>
      </c>
      <c r="X17" s="3">
        <f>Forecast!X17</f>
        <v>400</v>
      </c>
      <c r="Y17" s="3">
        <f>Forecast!Y17</f>
        <v>350</v>
      </c>
      <c r="Z17" s="3">
        <f>Forecast!Z17</f>
        <v>300</v>
      </c>
      <c r="AA17" s="3">
        <f>Forecast!AA17</f>
        <v>250</v>
      </c>
      <c r="AB17" s="12">
        <f t="shared" si="1"/>
        <v>4019</v>
      </c>
      <c r="AC17" s="149">
        <f>Forecast!AC17</f>
        <v>400</v>
      </c>
      <c r="AD17" s="149">
        <f>Forecast!AD17</f>
        <v>400</v>
      </c>
      <c r="AE17" s="149">
        <f>Forecast!AE17</f>
        <v>367.2</v>
      </c>
      <c r="AF17" s="149">
        <f>Forecast!AF17</f>
        <v>459</v>
      </c>
      <c r="AG17" s="149">
        <f>Forecast!AG17</f>
        <v>459</v>
      </c>
      <c r="AH17" s="149">
        <f>Forecast!AH17</f>
        <v>459</v>
      </c>
      <c r="AI17" s="149">
        <f>Forecast!AI17</f>
        <v>408</v>
      </c>
      <c r="AJ17" s="149">
        <f>Forecast!AJ17</f>
        <v>408</v>
      </c>
      <c r="AK17" s="149">
        <f>Forecast!AK17</f>
        <v>408</v>
      </c>
      <c r="AL17" s="149">
        <f>Forecast!AL17</f>
        <v>357</v>
      </c>
      <c r="AM17" s="149">
        <f>Forecast!AM17</f>
        <v>306</v>
      </c>
      <c r="AN17" s="149">
        <f>Forecast!AN17</f>
        <v>255</v>
      </c>
      <c r="AO17" s="12">
        <f t="shared" si="2"/>
        <v>4686.2</v>
      </c>
      <c r="AP17" s="148">
        <f t="shared" si="3"/>
        <v>0.1528973034997132</v>
      </c>
    </row>
    <row r="18" spans="1:42" x14ac:dyDescent="0.35">
      <c r="A18" s="1" t="s">
        <v>16</v>
      </c>
      <c r="B18" s="1" t="str">
        <f>Forecast!B18</f>
        <v>Al Fakher Gum Mint 50g</v>
      </c>
      <c r="C18" s="3">
        <v>0</v>
      </c>
      <c r="D18" s="3">
        <v>0</v>
      </c>
      <c r="E18" s="3">
        <v>133</v>
      </c>
      <c r="F18" s="3">
        <v>97</v>
      </c>
      <c r="G18" s="3">
        <v>60</v>
      </c>
      <c r="H18" s="3">
        <v>54</v>
      </c>
      <c r="I18" s="3">
        <v>0</v>
      </c>
      <c r="J18" s="3">
        <v>0</v>
      </c>
      <c r="K18" s="3">
        <v>223</v>
      </c>
      <c r="L18" s="3">
        <v>0</v>
      </c>
      <c r="M18" s="3">
        <v>136</v>
      </c>
      <c r="N18" s="3">
        <v>4</v>
      </c>
      <c r="O18" s="12">
        <f t="shared" si="0"/>
        <v>707</v>
      </c>
      <c r="P18" s="145">
        <v>160</v>
      </c>
      <c r="Q18" s="150">
        <v>21</v>
      </c>
      <c r="R18" s="155">
        <v>21</v>
      </c>
      <c r="S18" s="3">
        <f>Forecast!S18</f>
        <v>75</v>
      </c>
      <c r="T18" s="3">
        <f>Forecast!T18</f>
        <v>100</v>
      </c>
      <c r="U18" s="3">
        <f>Forecast!U18</f>
        <v>100</v>
      </c>
      <c r="V18" s="3">
        <f>Forecast!V18</f>
        <v>100</v>
      </c>
      <c r="W18" s="3">
        <f>Forecast!W18</f>
        <v>100</v>
      </c>
      <c r="X18" s="3">
        <f>Forecast!X18</f>
        <v>75</v>
      </c>
      <c r="Y18" s="3">
        <f>Forecast!Y18</f>
        <v>75</v>
      </c>
      <c r="Z18" s="3">
        <f>Forecast!Z18</f>
        <v>75</v>
      </c>
      <c r="AA18" s="3">
        <f>Forecast!AA18</f>
        <v>75</v>
      </c>
      <c r="AB18" s="12">
        <f t="shared" si="1"/>
        <v>977</v>
      </c>
      <c r="AC18" s="149">
        <f>Forecast!AC18</f>
        <v>200</v>
      </c>
      <c r="AD18" s="149">
        <f>Forecast!AD18</f>
        <v>150</v>
      </c>
      <c r="AE18" s="149">
        <f>Forecast!AE18</f>
        <v>25.5</v>
      </c>
      <c r="AF18" s="149">
        <f>Forecast!AF18</f>
        <v>76.5</v>
      </c>
      <c r="AG18" s="149">
        <f>Forecast!AG18</f>
        <v>102</v>
      </c>
      <c r="AH18" s="149">
        <f>Forecast!AH18</f>
        <v>102</v>
      </c>
      <c r="AI18" s="149">
        <f>Forecast!AI18</f>
        <v>102</v>
      </c>
      <c r="AJ18" s="149">
        <f>Forecast!AJ18</f>
        <v>102</v>
      </c>
      <c r="AK18" s="149">
        <f>Forecast!AK18</f>
        <v>76.5</v>
      </c>
      <c r="AL18" s="149">
        <f>Forecast!AL18</f>
        <v>76.5</v>
      </c>
      <c r="AM18" s="149">
        <f>Forecast!AM18</f>
        <v>76.5</v>
      </c>
      <c r="AN18" s="149">
        <f>Forecast!AN18</f>
        <v>76.5</v>
      </c>
      <c r="AO18" s="12">
        <f t="shared" si="2"/>
        <v>1166</v>
      </c>
      <c r="AP18" s="148">
        <f t="shared" si="3"/>
        <v>0.38189533239038198</v>
      </c>
    </row>
    <row r="19" spans="1:42" x14ac:dyDescent="0.35">
      <c r="A19" s="1" t="s">
        <v>16</v>
      </c>
      <c r="B19" s="1" t="str">
        <f>Forecast!B19</f>
        <v>Al Fakher Gum  50g</v>
      </c>
      <c r="C19" s="3">
        <v>20</v>
      </c>
      <c r="D19" s="3">
        <v>11</v>
      </c>
      <c r="E19" s="3">
        <v>1</v>
      </c>
      <c r="F19" s="3">
        <v>13</v>
      </c>
      <c r="G19" s="3">
        <v>6</v>
      </c>
      <c r="H19" s="3">
        <v>17</v>
      </c>
      <c r="I19" s="3">
        <v>33</v>
      </c>
      <c r="J19" s="3">
        <v>1</v>
      </c>
      <c r="K19" s="3">
        <v>28</v>
      </c>
      <c r="L19" s="3">
        <v>74</v>
      </c>
      <c r="M19" s="3">
        <v>44</v>
      </c>
      <c r="N19" s="3">
        <v>4</v>
      </c>
      <c r="O19" s="12">
        <f t="shared" si="0"/>
        <v>252</v>
      </c>
      <c r="P19" s="145">
        <v>50</v>
      </c>
      <c r="Q19" s="150">
        <v>2</v>
      </c>
      <c r="R19" s="155">
        <v>6</v>
      </c>
      <c r="S19" s="3">
        <f>Forecast!S19</f>
        <v>50</v>
      </c>
      <c r="T19" s="3">
        <f>Forecast!T19</f>
        <v>50</v>
      </c>
      <c r="U19" s="3">
        <f>Forecast!U19</f>
        <v>40</v>
      </c>
      <c r="V19" s="3">
        <f>Forecast!V19</f>
        <v>40</v>
      </c>
      <c r="W19" s="3">
        <f>Forecast!W19</f>
        <v>40</v>
      </c>
      <c r="X19" s="3">
        <f>Forecast!X19</f>
        <v>40</v>
      </c>
      <c r="Y19" s="3">
        <f>Forecast!Y19</f>
        <v>30</v>
      </c>
      <c r="Z19" s="3">
        <f>Forecast!Z19</f>
        <v>30</v>
      </c>
      <c r="AA19" s="3">
        <f>Forecast!AA19</f>
        <v>20</v>
      </c>
      <c r="AB19" s="12">
        <f t="shared" si="1"/>
        <v>398</v>
      </c>
      <c r="AC19" s="149">
        <f>Forecast!AC19</f>
        <v>20</v>
      </c>
      <c r="AD19" s="149">
        <f>Forecast!AD19</f>
        <v>20</v>
      </c>
      <c r="AE19" s="149">
        <f>Forecast!AE19</f>
        <v>7.14</v>
      </c>
      <c r="AF19" s="149">
        <f>Forecast!AF19</f>
        <v>51</v>
      </c>
      <c r="AG19" s="149">
        <f>Forecast!AG19</f>
        <v>51</v>
      </c>
      <c r="AH19" s="149">
        <f>Forecast!AH19</f>
        <v>40.799999999999997</v>
      </c>
      <c r="AI19" s="149">
        <f>Forecast!AI19</f>
        <v>40.799999999999997</v>
      </c>
      <c r="AJ19" s="149">
        <f>Forecast!AJ19</f>
        <v>40.799999999999997</v>
      </c>
      <c r="AK19" s="149">
        <f>Forecast!AK19</f>
        <v>40.799999999999997</v>
      </c>
      <c r="AL19" s="149">
        <f>Forecast!AL19</f>
        <v>30.6</v>
      </c>
      <c r="AM19" s="149">
        <f>Forecast!AM19</f>
        <v>30.6</v>
      </c>
      <c r="AN19" s="149">
        <f>Forecast!AN19</f>
        <v>20.399999999999999</v>
      </c>
      <c r="AO19" s="12">
        <f t="shared" si="2"/>
        <v>393.94000000000005</v>
      </c>
      <c r="AP19" s="148">
        <f t="shared" si="3"/>
        <v>0.57936507936507931</v>
      </c>
    </row>
    <row r="20" spans="1:42" x14ac:dyDescent="0.35">
      <c r="A20" s="1" t="s">
        <v>16</v>
      </c>
      <c r="B20" s="1" t="str">
        <f>Forecast!B20</f>
        <v>Al Fakher Lemon Mint 50g</v>
      </c>
      <c r="C20" s="3">
        <v>390</v>
      </c>
      <c r="D20" s="3">
        <v>11</v>
      </c>
      <c r="E20" s="3">
        <v>143</v>
      </c>
      <c r="F20" s="3">
        <v>292</v>
      </c>
      <c r="G20" s="3">
        <v>213</v>
      </c>
      <c r="H20" s="3">
        <v>104</v>
      </c>
      <c r="I20" s="3">
        <v>422</v>
      </c>
      <c r="J20" s="3">
        <v>147</v>
      </c>
      <c r="K20" s="3">
        <v>214</v>
      </c>
      <c r="L20" s="3">
        <v>505</v>
      </c>
      <c r="M20" s="3">
        <v>246</v>
      </c>
      <c r="N20" s="3">
        <v>62</v>
      </c>
      <c r="O20" s="12">
        <f t="shared" si="0"/>
        <v>2749</v>
      </c>
      <c r="P20" s="145">
        <v>286</v>
      </c>
      <c r="Q20" s="150">
        <v>88</v>
      </c>
      <c r="R20" s="155">
        <v>178</v>
      </c>
      <c r="S20" s="3">
        <f>Forecast!S20</f>
        <v>300</v>
      </c>
      <c r="T20" s="3">
        <f>Forecast!T20</f>
        <v>400</v>
      </c>
      <c r="U20" s="3">
        <f>Forecast!U20</f>
        <v>400</v>
      </c>
      <c r="V20" s="3">
        <f>Forecast!V20</f>
        <v>350</v>
      </c>
      <c r="W20" s="3">
        <f>Forecast!W20</f>
        <v>350</v>
      </c>
      <c r="X20" s="3">
        <f>Forecast!X20</f>
        <v>350</v>
      </c>
      <c r="Y20" s="3">
        <f>Forecast!Y20</f>
        <v>250</v>
      </c>
      <c r="Z20" s="3">
        <f>Forecast!Z20</f>
        <v>250</v>
      </c>
      <c r="AA20" s="3">
        <f>Forecast!AA20</f>
        <v>250</v>
      </c>
      <c r="AB20" s="12">
        <f t="shared" si="1"/>
        <v>3452</v>
      </c>
      <c r="AC20" s="149">
        <f>Forecast!AC20</f>
        <v>250</v>
      </c>
      <c r="AD20" s="149">
        <f>Forecast!AD20</f>
        <v>250</v>
      </c>
      <c r="AE20" s="149">
        <f>Forecast!AE20</f>
        <v>153</v>
      </c>
      <c r="AF20" s="149">
        <f>Forecast!AF20</f>
        <v>306</v>
      </c>
      <c r="AG20" s="149">
        <f>Forecast!AG20</f>
        <v>408</v>
      </c>
      <c r="AH20" s="149">
        <f>Forecast!AH20</f>
        <v>408</v>
      </c>
      <c r="AI20" s="149">
        <f>Forecast!AI20</f>
        <v>357</v>
      </c>
      <c r="AJ20" s="149">
        <f>Forecast!AJ20</f>
        <v>357</v>
      </c>
      <c r="AK20" s="149">
        <f>Forecast!AK20</f>
        <v>357</v>
      </c>
      <c r="AL20" s="149">
        <f>Forecast!AL20</f>
        <v>255</v>
      </c>
      <c r="AM20" s="149">
        <f>Forecast!AM20</f>
        <v>255</v>
      </c>
      <c r="AN20" s="149">
        <f>Forecast!AN20</f>
        <v>255</v>
      </c>
      <c r="AO20" s="12">
        <f t="shared" si="2"/>
        <v>3611</v>
      </c>
      <c r="AP20" s="148">
        <f t="shared" si="3"/>
        <v>0.25572935612950154</v>
      </c>
    </row>
    <row r="21" spans="1:42" x14ac:dyDescent="0.35">
      <c r="A21" s="1" t="s">
        <v>16</v>
      </c>
      <c r="B21" s="1" t="str">
        <f>Forecast!B21</f>
        <v>Al Fakher Magic Love 50g</v>
      </c>
      <c r="C21" s="3">
        <v>17</v>
      </c>
      <c r="D21" s="3">
        <v>1</v>
      </c>
      <c r="E21" s="3">
        <v>9</v>
      </c>
      <c r="F21" s="3">
        <v>28</v>
      </c>
      <c r="G21" s="3">
        <v>16</v>
      </c>
      <c r="H21" s="3">
        <v>72</v>
      </c>
      <c r="I21" s="3">
        <v>116</v>
      </c>
      <c r="J21" s="3">
        <v>96</v>
      </c>
      <c r="K21" s="3">
        <v>103</v>
      </c>
      <c r="L21" s="3">
        <v>223</v>
      </c>
      <c r="M21" s="3">
        <v>47</v>
      </c>
      <c r="N21" s="3">
        <v>2</v>
      </c>
      <c r="O21" s="12">
        <f t="shared" si="0"/>
        <v>730</v>
      </c>
      <c r="P21" s="145">
        <v>54</v>
      </c>
      <c r="Q21" s="150">
        <v>8</v>
      </c>
      <c r="R21" s="155">
        <v>43</v>
      </c>
      <c r="S21" s="3">
        <f>Forecast!S21</f>
        <v>50</v>
      </c>
      <c r="T21" s="3">
        <f>Forecast!T21</f>
        <v>40</v>
      </c>
      <c r="U21" s="3">
        <f>Forecast!U21</f>
        <v>80</v>
      </c>
      <c r="V21" s="3">
        <f>Forecast!V21</f>
        <v>80</v>
      </c>
      <c r="W21" s="3">
        <f>Forecast!W21</f>
        <v>80</v>
      </c>
      <c r="X21" s="3">
        <f>Forecast!X21</f>
        <v>75</v>
      </c>
      <c r="Y21" s="3">
        <f>Forecast!Y21</f>
        <v>75</v>
      </c>
      <c r="Z21" s="3">
        <f>Forecast!Z21</f>
        <v>50</v>
      </c>
      <c r="AA21" s="3">
        <f>Forecast!AA21</f>
        <v>50</v>
      </c>
      <c r="AB21" s="12">
        <f t="shared" si="1"/>
        <v>685</v>
      </c>
      <c r="AC21" s="149">
        <f>Forecast!AC21</f>
        <v>30</v>
      </c>
      <c r="AD21" s="149">
        <f>Forecast!AD21</f>
        <v>30</v>
      </c>
      <c r="AE21" s="149">
        <f>Forecast!AE21</f>
        <v>71.400000000000006</v>
      </c>
      <c r="AF21" s="149">
        <f>Forecast!AF21</f>
        <v>51</v>
      </c>
      <c r="AG21" s="149">
        <f>Forecast!AG21</f>
        <v>40.799999999999997</v>
      </c>
      <c r="AH21" s="149">
        <f>Forecast!AH21</f>
        <v>81.599999999999994</v>
      </c>
      <c r="AI21" s="149">
        <f>Forecast!AI21</f>
        <v>81.599999999999994</v>
      </c>
      <c r="AJ21" s="149">
        <f>Forecast!AJ21</f>
        <v>81.599999999999994</v>
      </c>
      <c r="AK21" s="149">
        <f>Forecast!AK21</f>
        <v>76.5</v>
      </c>
      <c r="AL21" s="149">
        <f>Forecast!AL21</f>
        <v>76.5</v>
      </c>
      <c r="AM21" s="149">
        <f>Forecast!AM21</f>
        <v>51</v>
      </c>
      <c r="AN21" s="149">
        <f>Forecast!AN21</f>
        <v>51</v>
      </c>
      <c r="AO21" s="12">
        <f t="shared" si="2"/>
        <v>723</v>
      </c>
      <c r="AP21" s="148">
        <f t="shared" si="3"/>
        <v>-6.164383561643838E-2</v>
      </c>
    </row>
    <row r="22" spans="1:42" x14ac:dyDescent="0.35">
      <c r="A22" s="1" t="s">
        <v>16</v>
      </c>
      <c r="B22" s="1" t="str">
        <f>Forecast!B22</f>
        <v>Al Fakher Mint 50g</v>
      </c>
      <c r="C22" s="3">
        <v>0</v>
      </c>
      <c r="D22" s="3">
        <v>0</v>
      </c>
      <c r="E22" s="3">
        <v>845</v>
      </c>
      <c r="F22" s="3">
        <v>401</v>
      </c>
      <c r="G22" s="3">
        <v>190</v>
      </c>
      <c r="H22" s="3">
        <v>199</v>
      </c>
      <c r="I22" s="3">
        <v>450</v>
      </c>
      <c r="J22" s="3">
        <v>235</v>
      </c>
      <c r="K22" s="3">
        <v>299</v>
      </c>
      <c r="L22" s="3">
        <v>498</v>
      </c>
      <c r="M22" s="3">
        <v>391</v>
      </c>
      <c r="N22" s="3">
        <v>26</v>
      </c>
      <c r="O22" s="12">
        <f t="shared" si="0"/>
        <v>3534</v>
      </c>
      <c r="P22" s="145">
        <v>339</v>
      </c>
      <c r="Q22" s="150">
        <v>94</v>
      </c>
      <c r="R22" s="155">
        <v>113</v>
      </c>
      <c r="S22" s="3">
        <f>Forecast!S22</f>
        <v>400</v>
      </c>
      <c r="T22" s="3">
        <f>Forecast!T22</f>
        <v>400</v>
      </c>
      <c r="U22" s="3">
        <f>Forecast!U22</f>
        <v>400</v>
      </c>
      <c r="V22" s="3">
        <f>Forecast!V22</f>
        <v>400</v>
      </c>
      <c r="W22" s="3">
        <f>Forecast!W22</f>
        <v>400</v>
      </c>
      <c r="X22" s="3">
        <f>Forecast!X22</f>
        <v>400</v>
      </c>
      <c r="Y22" s="3">
        <f>Forecast!Y22</f>
        <v>300</v>
      </c>
      <c r="Z22" s="3">
        <f>Forecast!Z22</f>
        <v>300</v>
      </c>
      <c r="AA22" s="3">
        <f>Forecast!AA22</f>
        <v>200</v>
      </c>
      <c r="AB22" s="12">
        <f t="shared" si="1"/>
        <v>3746</v>
      </c>
      <c r="AC22" s="149">
        <f>Forecast!AC22</f>
        <v>400</v>
      </c>
      <c r="AD22" s="149">
        <f>Forecast!AD22</f>
        <v>300</v>
      </c>
      <c r="AE22" s="149">
        <f>Forecast!AE22</f>
        <v>306</v>
      </c>
      <c r="AF22" s="149">
        <f>Forecast!AF22</f>
        <v>408</v>
      </c>
      <c r="AG22" s="149">
        <f>Forecast!AG22</f>
        <v>408</v>
      </c>
      <c r="AH22" s="149">
        <f>Forecast!AH22</f>
        <v>408</v>
      </c>
      <c r="AI22" s="149">
        <f>Forecast!AI22</f>
        <v>408</v>
      </c>
      <c r="AJ22" s="149">
        <f>Forecast!AJ22</f>
        <v>408</v>
      </c>
      <c r="AK22" s="149">
        <f>Forecast!AK22</f>
        <v>408</v>
      </c>
      <c r="AL22" s="149">
        <f>Forecast!AL22</f>
        <v>306</v>
      </c>
      <c r="AM22" s="149">
        <f>Forecast!AM22</f>
        <v>306</v>
      </c>
      <c r="AN22" s="149">
        <f>Forecast!AN22</f>
        <v>204</v>
      </c>
      <c r="AO22" s="12">
        <f t="shared" si="2"/>
        <v>4270</v>
      </c>
      <c r="AP22" s="148">
        <f t="shared" si="3"/>
        <v>5.9988681380871434E-2</v>
      </c>
    </row>
    <row r="23" spans="1:42" x14ac:dyDescent="0.35">
      <c r="A23" s="1" t="s">
        <v>16</v>
      </c>
      <c r="B23" s="1" t="str">
        <f>Forecast!B23</f>
        <v>Al Fakher Two apple 50g</v>
      </c>
      <c r="C23" s="3">
        <v>8790</v>
      </c>
      <c r="D23" s="3">
        <v>1109</v>
      </c>
      <c r="E23" s="3">
        <v>8523</v>
      </c>
      <c r="F23" s="3">
        <v>8187</v>
      </c>
      <c r="G23" s="3">
        <v>4</v>
      </c>
      <c r="H23" s="3">
        <v>5001</v>
      </c>
      <c r="I23" s="3">
        <v>6654</v>
      </c>
      <c r="J23" s="3">
        <v>3946</v>
      </c>
      <c r="K23" s="3">
        <v>9735</v>
      </c>
      <c r="L23" s="3">
        <v>3845</v>
      </c>
      <c r="M23" s="3">
        <v>10560</v>
      </c>
      <c r="N23" s="3">
        <v>6450</v>
      </c>
      <c r="O23" s="12">
        <f t="shared" si="0"/>
        <v>72804</v>
      </c>
      <c r="P23" s="146">
        <v>8307</v>
      </c>
      <c r="Q23" s="153">
        <v>4286</v>
      </c>
      <c r="R23" s="155">
        <v>6641</v>
      </c>
      <c r="S23" s="3">
        <f>Forecast!S23</f>
        <v>7500</v>
      </c>
      <c r="T23" s="3">
        <f>Forecast!T23</f>
        <v>6500</v>
      </c>
      <c r="U23" s="3">
        <f>Forecast!U23</f>
        <v>6500</v>
      </c>
      <c r="V23" s="3">
        <f>Forecast!V23</f>
        <v>7000</v>
      </c>
      <c r="W23" s="3">
        <f>Forecast!W23</f>
        <v>7000</v>
      </c>
      <c r="X23" s="3">
        <f>Forecast!X23</f>
        <v>6500</v>
      </c>
      <c r="Y23" s="3">
        <f>Forecast!Y23</f>
        <v>6500</v>
      </c>
      <c r="Z23" s="3">
        <f>Forecast!Z23</f>
        <v>6000</v>
      </c>
      <c r="AA23" s="3">
        <f>Forecast!AA23</f>
        <v>4500</v>
      </c>
      <c r="AB23" s="12">
        <f>SUM(P23:AA23)</f>
        <v>77234</v>
      </c>
      <c r="AC23" s="149">
        <f>Forecast!AC23</f>
        <v>7500</v>
      </c>
      <c r="AD23" s="149">
        <f>Forecast!AD23</f>
        <v>8000</v>
      </c>
      <c r="AE23" s="149">
        <f>Forecast!AE23</f>
        <v>9180</v>
      </c>
      <c r="AF23" s="149">
        <f>Forecast!AF23</f>
        <v>7650</v>
      </c>
      <c r="AG23" s="149">
        <f>Forecast!AG23</f>
        <v>6630</v>
      </c>
      <c r="AH23" s="149">
        <f>Forecast!AH23</f>
        <v>6630</v>
      </c>
      <c r="AI23" s="149">
        <f>Forecast!AI23</f>
        <v>7140</v>
      </c>
      <c r="AJ23" s="149">
        <f>Forecast!AJ23</f>
        <v>7140</v>
      </c>
      <c r="AK23" s="149">
        <f>Forecast!AK23</f>
        <v>6630</v>
      </c>
      <c r="AL23" s="149">
        <f>Forecast!AL23</f>
        <v>6630</v>
      </c>
      <c r="AM23" s="149">
        <f>Forecast!AM23</f>
        <v>6120</v>
      </c>
      <c r="AN23" s="149">
        <f>Forecast!AN23</f>
        <v>4590</v>
      </c>
      <c r="AO23" s="12">
        <f t="shared" si="2"/>
        <v>83840</v>
      </c>
      <c r="AP23" s="148">
        <f t="shared" si="3"/>
        <v>6.0848305038184725E-2</v>
      </c>
    </row>
    <row r="24" spans="1:42" x14ac:dyDescent="0.35">
      <c r="A24" s="1" t="s">
        <v>16</v>
      </c>
      <c r="B24" s="1" t="str">
        <f>Forecast!B24</f>
        <v>Lemonade Mint 50g</v>
      </c>
      <c r="C24" s="3"/>
      <c r="D24" s="3"/>
      <c r="E24" s="3"/>
      <c r="F24" s="3"/>
      <c r="G24" s="3"/>
      <c r="H24" s="3"/>
      <c r="I24" s="3"/>
      <c r="J24" s="3"/>
      <c r="K24" s="3">
        <v>1432</v>
      </c>
      <c r="L24" s="3">
        <v>0</v>
      </c>
      <c r="M24" s="3">
        <f>Forecast!M24</f>
        <v>0</v>
      </c>
      <c r="N24" s="3">
        <f>Forecast!N24</f>
        <v>0</v>
      </c>
      <c r="O24" s="12">
        <f t="shared" si="0"/>
        <v>1432</v>
      </c>
      <c r="P24" s="3">
        <f>Forecast!P24</f>
        <v>0</v>
      </c>
      <c r="Q24" s="3">
        <f>Forecast!Q24</f>
        <v>0</v>
      </c>
      <c r="R24" s="3">
        <f>Forecast!R24</f>
        <v>0</v>
      </c>
      <c r="S24" s="3">
        <f>Forecast!S24</f>
        <v>0</v>
      </c>
      <c r="T24" s="3">
        <f>Forecast!T24</f>
        <v>0</v>
      </c>
      <c r="U24" s="3">
        <f>Forecast!U24</f>
        <v>0</v>
      </c>
      <c r="V24" s="3">
        <f>Forecast!V24</f>
        <v>0</v>
      </c>
      <c r="W24" s="3">
        <f>Forecast!W24</f>
        <v>0</v>
      </c>
      <c r="X24" s="3">
        <f>Forecast!X24</f>
        <v>0</v>
      </c>
      <c r="Y24" s="3">
        <f>Forecast!Y24</f>
        <v>0</v>
      </c>
      <c r="Z24" s="3">
        <f>Forecast!Z24</f>
        <v>0</v>
      </c>
      <c r="AA24" s="3">
        <f>Forecast!AA24</f>
        <v>0</v>
      </c>
      <c r="AB24" s="12">
        <f t="shared" si="1"/>
        <v>0</v>
      </c>
      <c r="AC24" s="149">
        <f>Forecast!AC24</f>
        <v>0</v>
      </c>
      <c r="AD24" s="149">
        <f>Forecast!AD24</f>
        <v>0</v>
      </c>
      <c r="AE24" s="149">
        <f>Forecast!AE24</f>
        <v>0</v>
      </c>
      <c r="AF24" s="149">
        <f>Forecast!AF24</f>
        <v>0</v>
      </c>
      <c r="AG24" s="149">
        <f>Forecast!AG24</f>
        <v>0</v>
      </c>
      <c r="AH24" s="149">
        <f>Forecast!AH24</f>
        <v>0</v>
      </c>
      <c r="AI24" s="149">
        <f>Forecast!AI24</f>
        <v>0</v>
      </c>
      <c r="AJ24" s="149">
        <f>Forecast!AJ24</f>
        <v>0</v>
      </c>
      <c r="AK24" s="149">
        <f>Forecast!AK24</f>
        <v>0</v>
      </c>
      <c r="AL24" s="149">
        <f>Forecast!AL24</f>
        <v>0</v>
      </c>
      <c r="AM24" s="149">
        <f>Forecast!AM24</f>
        <v>0</v>
      </c>
      <c r="AN24" s="149">
        <f>Forecast!AN24</f>
        <v>0</v>
      </c>
      <c r="AO24" s="12">
        <f t="shared" si="2"/>
        <v>0</v>
      </c>
    </row>
    <row r="25" spans="1:42" x14ac:dyDescent="0.35">
      <c r="A25" s="1" t="s">
        <v>16</v>
      </c>
      <c r="B25" s="1" t="str">
        <f>Forecast!B25</f>
        <v>Lemonade Pear 50g</v>
      </c>
      <c r="C25" s="3"/>
      <c r="D25" s="3"/>
      <c r="E25" s="3"/>
      <c r="F25" s="3"/>
      <c r="G25" s="3"/>
      <c r="H25" s="3"/>
      <c r="I25" s="3"/>
      <c r="J25" s="3"/>
      <c r="K25" s="3">
        <v>1477</v>
      </c>
      <c r="L25" s="3">
        <v>0</v>
      </c>
      <c r="M25" s="3">
        <f>Forecast!M25</f>
        <v>0</v>
      </c>
      <c r="N25" s="3">
        <f>Forecast!N25</f>
        <v>0</v>
      </c>
      <c r="O25" s="12">
        <f t="shared" si="0"/>
        <v>1477</v>
      </c>
      <c r="P25" s="3">
        <f>Forecast!P25</f>
        <v>0</v>
      </c>
      <c r="Q25" s="3">
        <f>Forecast!Q25</f>
        <v>0</v>
      </c>
      <c r="R25" s="3">
        <f>Forecast!R25</f>
        <v>0</v>
      </c>
      <c r="S25" s="3">
        <f>Forecast!S25</f>
        <v>0</v>
      </c>
      <c r="T25" s="3">
        <f>Forecast!T25</f>
        <v>0</v>
      </c>
      <c r="U25" s="3">
        <f>Forecast!U25</f>
        <v>0</v>
      </c>
      <c r="V25" s="3">
        <f>Forecast!V25</f>
        <v>0</v>
      </c>
      <c r="W25" s="3">
        <f>Forecast!W25</f>
        <v>0</v>
      </c>
      <c r="X25" s="3">
        <f>Forecast!X25</f>
        <v>0</v>
      </c>
      <c r="Y25" s="3">
        <f>Forecast!Y25</f>
        <v>0</v>
      </c>
      <c r="Z25" s="3">
        <f>Forecast!Z25</f>
        <v>0</v>
      </c>
      <c r="AA25" s="3">
        <f>Forecast!AA25</f>
        <v>0</v>
      </c>
      <c r="AB25" s="12">
        <f t="shared" si="1"/>
        <v>0</v>
      </c>
      <c r="AC25" s="149">
        <f>Forecast!AC25</f>
        <v>0</v>
      </c>
      <c r="AD25" s="149">
        <f>Forecast!AD25</f>
        <v>0</v>
      </c>
      <c r="AE25" s="149">
        <f>Forecast!AE25</f>
        <v>0</v>
      </c>
      <c r="AF25" s="149">
        <f>Forecast!AF25</f>
        <v>0</v>
      </c>
      <c r="AG25" s="149">
        <f>Forecast!AG25</f>
        <v>0</v>
      </c>
      <c r="AH25" s="149">
        <f>Forecast!AH25</f>
        <v>0</v>
      </c>
      <c r="AI25" s="149">
        <f>Forecast!AI25</f>
        <v>0</v>
      </c>
      <c r="AJ25" s="149">
        <f>Forecast!AJ25</f>
        <v>0</v>
      </c>
      <c r="AK25" s="149">
        <f>Forecast!AK25</f>
        <v>0</v>
      </c>
      <c r="AL25" s="149">
        <f>Forecast!AL25</f>
        <v>0</v>
      </c>
      <c r="AM25" s="149">
        <f>Forecast!AM25</f>
        <v>0</v>
      </c>
      <c r="AN25" s="149">
        <f>Forecast!AN25</f>
        <v>0</v>
      </c>
      <c r="AO25" s="12">
        <f t="shared" si="2"/>
        <v>0</v>
      </c>
    </row>
    <row r="26" spans="1:42" x14ac:dyDescent="0.35">
      <c r="A26" s="1" t="s">
        <v>16</v>
      </c>
      <c r="B26" s="1" t="s">
        <v>33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12">
        <f t="shared" si="0"/>
        <v>0</v>
      </c>
      <c r="P26" s="3">
        <f>Forecast!P26</f>
        <v>0</v>
      </c>
      <c r="Q26" s="3">
        <f>Forecast!Q26</f>
        <v>0</v>
      </c>
      <c r="R26" s="3">
        <f>Forecast!R26</f>
        <v>0</v>
      </c>
      <c r="S26" s="3">
        <f>Forecast!S26</f>
        <v>0</v>
      </c>
      <c r="T26" s="3">
        <f>Forecast!T26</f>
        <v>0</v>
      </c>
      <c r="U26" s="3">
        <f>Forecast!U26</f>
        <v>0</v>
      </c>
      <c r="V26" s="3">
        <f>Forecast!V26</f>
        <v>0</v>
      </c>
      <c r="W26" s="3">
        <f>Forecast!W26</f>
        <v>0</v>
      </c>
      <c r="X26" s="3">
        <f>Forecast!X26</f>
        <v>0</v>
      </c>
      <c r="Y26" s="3">
        <f>Forecast!Y26</f>
        <v>0</v>
      </c>
      <c r="Z26" s="3">
        <f>Forecast!Z26</f>
        <v>0</v>
      </c>
      <c r="AA26" s="3">
        <f>Forecast!AA26</f>
        <v>0</v>
      </c>
      <c r="AB26" s="12">
        <f t="shared" si="1"/>
        <v>0</v>
      </c>
      <c r="AC26" s="149">
        <f>Forecast!AC26</f>
        <v>0</v>
      </c>
      <c r="AD26" s="149">
        <f>Forecast!AD26</f>
        <v>0</v>
      </c>
      <c r="AE26" s="149">
        <f>Forecast!AE26</f>
        <v>0</v>
      </c>
      <c r="AF26" s="149">
        <f>Forecast!AF26</f>
        <v>0</v>
      </c>
      <c r="AG26" s="149">
        <f>Forecast!AG26</f>
        <v>0</v>
      </c>
      <c r="AH26" s="149">
        <f>Forecast!AH26</f>
        <v>0</v>
      </c>
      <c r="AI26" s="149">
        <f>Forecast!AI26</f>
        <v>0</v>
      </c>
      <c r="AJ26" s="149">
        <f>Forecast!AJ26</f>
        <v>0</v>
      </c>
      <c r="AK26" s="149">
        <f>Forecast!AK26</f>
        <v>0</v>
      </c>
      <c r="AL26" s="149">
        <f>Forecast!AL26</f>
        <v>0</v>
      </c>
      <c r="AM26" s="149">
        <f>Forecast!AM26</f>
        <v>0</v>
      </c>
      <c r="AN26" s="149">
        <f>Forecast!AN26</f>
        <v>0</v>
      </c>
      <c r="AO26" s="12">
        <f t="shared" si="2"/>
        <v>0</v>
      </c>
    </row>
    <row r="27" spans="1:42" x14ac:dyDescent="0.35">
      <c r="A27" s="1" t="s">
        <v>10</v>
      </c>
      <c r="B27" s="1" t="s">
        <v>34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12">
        <f t="shared" si="0"/>
        <v>0</v>
      </c>
      <c r="P27" s="3">
        <f>Forecast!P27</f>
        <v>0</v>
      </c>
      <c r="Q27" s="3">
        <f>Forecast!Q27</f>
        <v>0</v>
      </c>
      <c r="R27" s="3">
        <f>Forecast!R27</f>
        <v>0</v>
      </c>
      <c r="S27" s="3">
        <f>Forecast!S27</f>
        <v>0</v>
      </c>
      <c r="T27" s="3">
        <f>Forecast!T27</f>
        <v>0</v>
      </c>
      <c r="U27" s="3">
        <f>Forecast!U27</f>
        <v>0</v>
      </c>
      <c r="V27" s="3">
        <f>Forecast!V27</f>
        <v>0</v>
      </c>
      <c r="W27" s="3">
        <f>Forecast!W27</f>
        <v>0</v>
      </c>
      <c r="X27" s="3">
        <f>Forecast!X27</f>
        <v>0</v>
      </c>
      <c r="Y27" s="3">
        <f>Forecast!Y27</f>
        <v>0</v>
      </c>
      <c r="Z27" s="3">
        <f>Forecast!Z27</f>
        <v>0</v>
      </c>
      <c r="AA27" s="3">
        <f>Forecast!AA27</f>
        <v>0</v>
      </c>
      <c r="AB27" s="12">
        <f t="shared" si="1"/>
        <v>0</v>
      </c>
      <c r="AC27" s="149">
        <f>Forecast!AC27</f>
        <v>0</v>
      </c>
      <c r="AD27" s="149">
        <f>Forecast!AD27</f>
        <v>0</v>
      </c>
      <c r="AE27" s="149">
        <f>Forecast!AE27</f>
        <v>0</v>
      </c>
      <c r="AF27" s="149">
        <f>Forecast!AF27</f>
        <v>0</v>
      </c>
      <c r="AG27" s="149">
        <f>Forecast!AG27</f>
        <v>0</v>
      </c>
      <c r="AH27" s="149">
        <f>Forecast!AH27</f>
        <v>0</v>
      </c>
      <c r="AI27" s="149">
        <f>Forecast!AI27</f>
        <v>0</v>
      </c>
      <c r="AJ27" s="149">
        <f>Forecast!AJ27</f>
        <v>0</v>
      </c>
      <c r="AK27" s="149">
        <f>Forecast!AK27</f>
        <v>0</v>
      </c>
      <c r="AL27" s="149">
        <f>Forecast!AL27</f>
        <v>0</v>
      </c>
      <c r="AM27" s="149">
        <f>Forecast!AM27</f>
        <v>0</v>
      </c>
      <c r="AN27" s="149">
        <f>Forecast!AN27</f>
        <v>0</v>
      </c>
      <c r="AO27" s="12">
        <f t="shared" si="2"/>
        <v>0</v>
      </c>
    </row>
    <row r="28" spans="1:42" x14ac:dyDescent="0.35">
      <c r="A28" s="1" t="s">
        <v>4</v>
      </c>
      <c r="B28" s="1" t="s">
        <v>35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2">
        <f t="shared" si="0"/>
        <v>0</v>
      </c>
      <c r="P28" s="3">
        <f>Forecast!P28</f>
        <v>0</v>
      </c>
      <c r="Q28" s="3">
        <f>Forecast!Q28</f>
        <v>0</v>
      </c>
      <c r="R28" s="3">
        <f>Forecast!R28</f>
        <v>0</v>
      </c>
      <c r="S28" s="3">
        <f>Forecast!S28</f>
        <v>0</v>
      </c>
      <c r="T28" s="3">
        <f>Forecast!T28</f>
        <v>0</v>
      </c>
      <c r="U28" s="3">
        <f>Forecast!U28</f>
        <v>0</v>
      </c>
      <c r="V28" s="3">
        <f>Forecast!V28</f>
        <v>0</v>
      </c>
      <c r="W28" s="3">
        <f>Forecast!W28</f>
        <v>0</v>
      </c>
      <c r="X28" s="3">
        <f>Forecast!X28</f>
        <v>0</v>
      </c>
      <c r="Y28" s="3">
        <f>Forecast!Y28</f>
        <v>300</v>
      </c>
      <c r="Z28" s="3">
        <f>Forecast!Z28</f>
        <v>300</v>
      </c>
      <c r="AA28" s="3">
        <f>Forecast!AA28</f>
        <v>300</v>
      </c>
      <c r="AB28" s="12">
        <f t="shared" si="1"/>
        <v>900</v>
      </c>
      <c r="AC28" s="149">
        <f>Forecast!AC28</f>
        <v>300</v>
      </c>
      <c r="AD28" s="149">
        <f>Forecast!AD28</f>
        <v>300</v>
      </c>
      <c r="AE28" s="149">
        <f>Forecast!AE28</f>
        <v>300</v>
      </c>
      <c r="AF28" s="149">
        <f>Forecast!AF28</f>
        <v>300</v>
      </c>
      <c r="AG28" s="149">
        <f>Forecast!AG28</f>
        <v>300</v>
      </c>
      <c r="AH28" s="149">
        <f>Forecast!AH28</f>
        <v>300</v>
      </c>
      <c r="AI28" s="149">
        <f>Forecast!AI28</f>
        <v>300</v>
      </c>
      <c r="AJ28" s="149">
        <f>Forecast!AJ28</f>
        <v>300</v>
      </c>
      <c r="AK28" s="149">
        <f>Forecast!AK28</f>
        <v>300</v>
      </c>
      <c r="AL28" s="149">
        <f>Forecast!AL28</f>
        <v>300</v>
      </c>
      <c r="AM28" s="149">
        <f>Forecast!AM28</f>
        <v>300</v>
      </c>
      <c r="AN28" s="149">
        <f>Forecast!AN28</f>
        <v>300</v>
      </c>
      <c r="AO28" s="12">
        <f t="shared" si="2"/>
        <v>3600</v>
      </c>
    </row>
    <row r="29" spans="1:42" x14ac:dyDescent="0.35">
      <c r="A29" s="1" t="s">
        <v>16</v>
      </c>
      <c r="B29" s="1" t="s">
        <v>36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12">
        <f t="shared" si="0"/>
        <v>0</v>
      </c>
      <c r="P29" s="3">
        <f>Forecast!P29</f>
        <v>0</v>
      </c>
      <c r="Q29" s="3">
        <f>Forecast!Q29</f>
        <v>0</v>
      </c>
      <c r="R29" s="3">
        <f>Forecast!R29</f>
        <v>0</v>
      </c>
      <c r="S29" s="3">
        <f>Forecast!S29</f>
        <v>0</v>
      </c>
      <c r="T29" s="3">
        <f>Forecast!T29</f>
        <v>0</v>
      </c>
      <c r="U29" s="3">
        <f>Forecast!U29</f>
        <v>0</v>
      </c>
      <c r="V29" s="3">
        <f>Forecast!V29</f>
        <v>0</v>
      </c>
      <c r="W29" s="3">
        <f>Forecast!W29</f>
        <v>0</v>
      </c>
      <c r="X29" s="3">
        <f>Forecast!X29</f>
        <v>0</v>
      </c>
      <c r="Y29" s="3">
        <f>Forecast!Y29</f>
        <v>250</v>
      </c>
      <c r="Z29" s="3">
        <f>Forecast!Z29</f>
        <v>250</v>
      </c>
      <c r="AA29" s="3">
        <f>Forecast!AA29</f>
        <v>250</v>
      </c>
      <c r="AB29" s="12">
        <f t="shared" si="1"/>
        <v>750</v>
      </c>
      <c r="AC29" s="149">
        <f>Forecast!AC29</f>
        <v>350</v>
      </c>
      <c r="AD29" s="149">
        <f>Forecast!AD29</f>
        <v>250</v>
      </c>
      <c r="AE29" s="149">
        <f>Forecast!AE29</f>
        <v>262.5</v>
      </c>
      <c r="AF29" s="149">
        <f>Forecast!AF29</f>
        <v>275.625</v>
      </c>
      <c r="AG29" s="149">
        <f>Forecast!AG29</f>
        <v>289.40625</v>
      </c>
      <c r="AH29" s="149">
        <f>Forecast!AH29</f>
        <v>303.87656250000003</v>
      </c>
      <c r="AI29" s="149">
        <f>Forecast!AI29</f>
        <v>319.07039062500007</v>
      </c>
      <c r="AJ29" s="149">
        <f>Forecast!AJ29</f>
        <v>335.02391015625011</v>
      </c>
      <c r="AK29" s="149">
        <f>Forecast!AK29</f>
        <v>351.77510566406261</v>
      </c>
      <c r="AL29" s="149">
        <f>Forecast!AL29</f>
        <v>250</v>
      </c>
      <c r="AM29" s="149">
        <f>Forecast!AM29</f>
        <v>250</v>
      </c>
      <c r="AN29" s="149">
        <f>Forecast!AN29</f>
        <v>250</v>
      </c>
      <c r="AO29" s="12">
        <f t="shared" si="2"/>
        <v>3487.2772189453131</v>
      </c>
    </row>
    <row r="30" spans="1:42" x14ac:dyDescent="0.35">
      <c r="A30" s="1" t="s">
        <v>10</v>
      </c>
      <c r="B30" s="1" t="s">
        <v>37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12">
        <f t="shared" si="0"/>
        <v>0</v>
      </c>
      <c r="P30" s="3">
        <f>Forecast!P30</f>
        <v>0</v>
      </c>
      <c r="Q30" s="3">
        <f>Forecast!Q30</f>
        <v>0</v>
      </c>
      <c r="R30" s="3">
        <f>Forecast!R30</f>
        <v>0</v>
      </c>
      <c r="S30" s="3">
        <f>Forecast!S30</f>
        <v>0</v>
      </c>
      <c r="T30" s="3">
        <f>Forecast!T30</f>
        <v>0</v>
      </c>
      <c r="U30" s="3">
        <f>Forecast!U30</f>
        <v>0</v>
      </c>
      <c r="V30" s="3">
        <f>Forecast!V30</f>
        <v>0</v>
      </c>
      <c r="W30" s="3">
        <f>Forecast!W30</f>
        <v>0</v>
      </c>
      <c r="X30" s="3">
        <f>Forecast!X30</f>
        <v>0</v>
      </c>
      <c r="Y30" s="3">
        <f>Forecast!Y30</f>
        <v>150</v>
      </c>
      <c r="Z30" s="3">
        <f>Forecast!Z30</f>
        <v>150</v>
      </c>
      <c r="AA30" s="3">
        <f>Forecast!AA30</f>
        <v>150</v>
      </c>
      <c r="AB30" s="12">
        <f t="shared" si="1"/>
        <v>450</v>
      </c>
      <c r="AC30" s="149">
        <f>Forecast!AC30</f>
        <v>200</v>
      </c>
      <c r="AD30" s="149">
        <f>Forecast!AD30</f>
        <v>200</v>
      </c>
      <c r="AE30" s="149">
        <f>Forecast!AE30</f>
        <v>210</v>
      </c>
      <c r="AF30" s="149">
        <f>Forecast!AF30</f>
        <v>220.5</v>
      </c>
      <c r="AG30" s="149">
        <f>Forecast!AG30</f>
        <v>231.52500000000001</v>
      </c>
      <c r="AH30" s="149">
        <f>Forecast!AH30</f>
        <v>243.10125000000002</v>
      </c>
      <c r="AI30" s="149">
        <f>Forecast!AI30</f>
        <v>255.25631250000004</v>
      </c>
      <c r="AJ30" s="149">
        <f>Forecast!AJ30</f>
        <v>268.01912812500007</v>
      </c>
      <c r="AK30" s="149">
        <f>Forecast!AK30</f>
        <v>281.4200845312501</v>
      </c>
      <c r="AL30" s="149">
        <f>Forecast!AL30</f>
        <v>200</v>
      </c>
      <c r="AM30" s="149">
        <f>Forecast!AM30</f>
        <v>200</v>
      </c>
      <c r="AN30" s="149">
        <f>Forecast!AN30</f>
        <v>200</v>
      </c>
      <c r="AO30" s="12">
        <f t="shared" si="2"/>
        <v>2709.8217751562502</v>
      </c>
    </row>
    <row r="31" spans="1:42" x14ac:dyDescent="0.35">
      <c r="A31" s="1" t="s">
        <v>4</v>
      </c>
      <c r="B31" s="1" t="s">
        <v>38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12">
        <f t="shared" si="0"/>
        <v>0</v>
      </c>
      <c r="P31" s="3">
        <f>Forecast!P31</f>
        <v>0</v>
      </c>
      <c r="Q31" s="3">
        <f>Forecast!Q31</f>
        <v>0</v>
      </c>
      <c r="R31" s="3">
        <f>Forecast!R31</f>
        <v>0</v>
      </c>
      <c r="S31" s="3">
        <f>Forecast!S31</f>
        <v>0</v>
      </c>
      <c r="T31" s="3">
        <f>Forecast!T31</f>
        <v>0</v>
      </c>
      <c r="U31" s="3">
        <f>Forecast!U31</f>
        <v>0</v>
      </c>
      <c r="V31" s="3">
        <f>Forecast!V31</f>
        <v>0</v>
      </c>
      <c r="W31" s="3">
        <f>Forecast!W31</f>
        <v>0</v>
      </c>
      <c r="X31" s="3">
        <f>Forecast!X31</f>
        <v>0</v>
      </c>
      <c r="Y31" s="3">
        <f>Forecast!Y31</f>
        <v>200</v>
      </c>
      <c r="Z31" s="3">
        <f>Forecast!Z31</f>
        <v>200</v>
      </c>
      <c r="AA31" s="3">
        <f>Forecast!AA31</f>
        <v>200</v>
      </c>
      <c r="AB31" s="12">
        <f>SUM(P31:AA31)</f>
        <v>600</v>
      </c>
      <c r="AC31" s="149">
        <f>Forecast!AC31</f>
        <v>250</v>
      </c>
      <c r="AD31" s="149">
        <f>Forecast!AD31</f>
        <v>200</v>
      </c>
      <c r="AE31" s="149">
        <f>Forecast!AE31</f>
        <v>210</v>
      </c>
      <c r="AF31" s="149">
        <f>Forecast!AF31</f>
        <v>220.5</v>
      </c>
      <c r="AG31" s="149">
        <f>Forecast!AG31</f>
        <v>231.52500000000001</v>
      </c>
      <c r="AH31" s="149">
        <f>Forecast!AH31</f>
        <v>243.10125000000002</v>
      </c>
      <c r="AI31" s="149">
        <f>Forecast!AI31</f>
        <v>255.25631250000004</v>
      </c>
      <c r="AJ31" s="149">
        <f>Forecast!AJ31</f>
        <v>268.01912812500007</v>
      </c>
      <c r="AK31" s="149">
        <f>Forecast!AK31</f>
        <v>281.4200845312501</v>
      </c>
      <c r="AL31" s="149">
        <f>Forecast!AL31</f>
        <v>200</v>
      </c>
      <c r="AM31" s="149">
        <f>Forecast!AM31</f>
        <v>200</v>
      </c>
      <c r="AN31" s="149">
        <f>Forecast!AN31</f>
        <v>200</v>
      </c>
      <c r="AO31" s="12">
        <f t="shared" si="2"/>
        <v>2759.8217751562502</v>
      </c>
    </row>
    <row r="32" spans="1:42" s="2" customFormat="1" x14ac:dyDescent="0.35">
      <c r="B32" s="103" t="s">
        <v>39</v>
      </c>
      <c r="C32" s="115">
        <f t="shared" ref="C32:N32" si="4">SUM(C3:C31)</f>
        <v>14784</v>
      </c>
      <c r="D32" s="115">
        <f t="shared" si="4"/>
        <v>10218</v>
      </c>
      <c r="E32" s="115">
        <f t="shared" si="4"/>
        <v>21235</v>
      </c>
      <c r="F32" s="115">
        <f t="shared" si="4"/>
        <v>22196</v>
      </c>
      <c r="G32" s="115">
        <f t="shared" si="4"/>
        <v>1554</v>
      </c>
      <c r="H32" s="115">
        <f t="shared" si="4"/>
        <v>10767</v>
      </c>
      <c r="I32" s="115">
        <f t="shared" si="4"/>
        <v>14935</v>
      </c>
      <c r="J32" s="115">
        <f t="shared" si="4"/>
        <v>17847</v>
      </c>
      <c r="K32" s="115">
        <f t="shared" si="4"/>
        <v>23853</v>
      </c>
      <c r="L32" s="115">
        <f t="shared" si="4"/>
        <v>24612</v>
      </c>
      <c r="M32" s="115">
        <f t="shared" si="4"/>
        <v>23102</v>
      </c>
      <c r="N32" s="115">
        <f t="shared" si="4"/>
        <v>11888</v>
      </c>
      <c r="O32" s="115">
        <f>SUM(O3:O31)</f>
        <v>196991</v>
      </c>
      <c r="P32" s="115">
        <f t="shared" ref="P32:Z32" si="5">SUM(P3:P23)</f>
        <v>21751</v>
      </c>
      <c r="Q32" s="115">
        <f t="shared" si="5"/>
        <v>12477</v>
      </c>
      <c r="R32" s="115">
        <f t="shared" si="5"/>
        <v>17693</v>
      </c>
      <c r="S32" s="115">
        <f t="shared" si="5"/>
        <v>21123</v>
      </c>
      <c r="T32" s="115">
        <f t="shared" si="5"/>
        <v>20164</v>
      </c>
      <c r="U32" s="115">
        <f t="shared" si="5"/>
        <v>20350</v>
      </c>
      <c r="V32" s="115">
        <f t="shared" si="5"/>
        <v>21725</v>
      </c>
      <c r="W32" s="115">
        <f t="shared" si="5"/>
        <v>21225</v>
      </c>
      <c r="X32" s="115">
        <f t="shared" si="5"/>
        <v>19175</v>
      </c>
      <c r="Y32" s="115">
        <f t="shared" si="5"/>
        <v>17740</v>
      </c>
      <c r="Z32" s="115">
        <f t="shared" si="5"/>
        <v>16990</v>
      </c>
      <c r="AA32" s="115">
        <f>SUM(AA3:AA23)</f>
        <v>13455</v>
      </c>
      <c r="AB32" s="115">
        <f>SUM(AB3:AB23)</f>
        <v>223868</v>
      </c>
      <c r="AC32" s="115">
        <f t="shared" ref="AC32:AO32" si="6">SUM(AC3:AC23)</f>
        <v>21430</v>
      </c>
      <c r="AD32" s="115">
        <f t="shared" si="6"/>
        <v>21150</v>
      </c>
      <c r="AE32" s="115">
        <f t="shared" si="6"/>
        <v>21544.440000000002</v>
      </c>
      <c r="AF32" s="115">
        <f t="shared" si="6"/>
        <v>21545.46</v>
      </c>
      <c r="AG32" s="115">
        <f t="shared" si="6"/>
        <v>20567.28</v>
      </c>
      <c r="AH32" s="115">
        <f t="shared" si="6"/>
        <v>20757</v>
      </c>
      <c r="AI32" s="115">
        <f t="shared" si="6"/>
        <v>22159.5</v>
      </c>
      <c r="AJ32" s="115">
        <f t="shared" si="6"/>
        <v>21649.5</v>
      </c>
      <c r="AK32" s="115">
        <f t="shared" si="6"/>
        <v>19558.5</v>
      </c>
      <c r="AL32" s="115">
        <f t="shared" si="6"/>
        <v>18094.800000000003</v>
      </c>
      <c r="AM32" s="115">
        <f t="shared" si="6"/>
        <v>17329.800000000003</v>
      </c>
      <c r="AN32" s="115">
        <f t="shared" si="6"/>
        <v>13724.1</v>
      </c>
      <c r="AO32" s="115">
        <f t="shared" si="6"/>
        <v>239510.38000000003</v>
      </c>
    </row>
    <row r="33" spans="1:41" customFormat="1" x14ac:dyDescent="0.35">
      <c r="A33" s="2"/>
    </row>
    <row r="34" spans="1:41" x14ac:dyDescent="0.35">
      <c r="B34" s="119" t="s">
        <v>40</v>
      </c>
      <c r="C34" s="120">
        <f t="shared" ref="C34:AO34" si="7">SUM(C3:C31)</f>
        <v>14784</v>
      </c>
      <c r="D34" s="121">
        <f t="shared" si="7"/>
        <v>10218</v>
      </c>
      <c r="E34" s="121">
        <f t="shared" si="7"/>
        <v>21235</v>
      </c>
      <c r="F34" s="121">
        <f t="shared" si="7"/>
        <v>22196</v>
      </c>
      <c r="G34" s="121">
        <f t="shared" si="7"/>
        <v>1554</v>
      </c>
      <c r="H34" s="121">
        <f t="shared" si="7"/>
        <v>10767</v>
      </c>
      <c r="I34" s="121">
        <f t="shared" si="7"/>
        <v>14935</v>
      </c>
      <c r="J34" s="121">
        <f t="shared" si="7"/>
        <v>17847</v>
      </c>
      <c r="K34" s="121">
        <f t="shared" si="7"/>
        <v>23853</v>
      </c>
      <c r="L34" s="121">
        <f t="shared" si="7"/>
        <v>24612</v>
      </c>
      <c r="M34" s="122">
        <f t="shared" si="7"/>
        <v>23102</v>
      </c>
      <c r="N34" s="122">
        <f t="shared" si="7"/>
        <v>11888</v>
      </c>
      <c r="O34" s="123">
        <f t="shared" si="7"/>
        <v>196991</v>
      </c>
      <c r="P34" s="120">
        <f>SUM(P3:P31)</f>
        <v>21751</v>
      </c>
      <c r="Q34" s="121">
        <f t="shared" ref="Q34:AA34" si="8">SUM(Q3:Q31)</f>
        <v>12477</v>
      </c>
      <c r="R34" s="121">
        <f t="shared" si="8"/>
        <v>17693</v>
      </c>
      <c r="S34" s="121">
        <f t="shared" si="8"/>
        <v>21123</v>
      </c>
      <c r="T34" s="121">
        <f t="shared" si="8"/>
        <v>20164</v>
      </c>
      <c r="U34" s="121">
        <f t="shared" si="8"/>
        <v>20350</v>
      </c>
      <c r="V34" s="121">
        <f t="shared" si="8"/>
        <v>21725</v>
      </c>
      <c r="W34" s="121">
        <f t="shared" si="8"/>
        <v>21225</v>
      </c>
      <c r="X34" s="121">
        <f t="shared" si="8"/>
        <v>19175</v>
      </c>
      <c r="Y34" s="121">
        <f t="shared" si="8"/>
        <v>18640</v>
      </c>
      <c r="Z34" s="121">
        <f t="shared" si="8"/>
        <v>17890</v>
      </c>
      <c r="AA34" s="122">
        <f t="shared" si="8"/>
        <v>14355</v>
      </c>
      <c r="AB34" s="124">
        <f t="shared" si="7"/>
        <v>226568</v>
      </c>
      <c r="AC34" s="120">
        <f t="shared" si="7"/>
        <v>22530</v>
      </c>
      <c r="AD34" s="121">
        <f t="shared" si="7"/>
        <v>22100</v>
      </c>
      <c r="AE34" s="121">
        <f t="shared" si="7"/>
        <v>22526.940000000002</v>
      </c>
      <c r="AF34" s="121">
        <f t="shared" si="7"/>
        <v>22562.084999999999</v>
      </c>
      <c r="AG34" s="121">
        <f t="shared" si="7"/>
        <v>21619.736250000002</v>
      </c>
      <c r="AH34" s="121">
        <f t="shared" si="7"/>
        <v>21847.079062500001</v>
      </c>
      <c r="AI34" s="121">
        <f t="shared" si="7"/>
        <v>23289.083015625001</v>
      </c>
      <c r="AJ34" s="121">
        <f t="shared" si="7"/>
        <v>22820.562166406253</v>
      </c>
      <c r="AK34" s="121">
        <f t="shared" si="7"/>
        <v>20773.115274726566</v>
      </c>
      <c r="AL34" s="121">
        <f t="shared" si="7"/>
        <v>19044.800000000003</v>
      </c>
      <c r="AM34" s="121">
        <f t="shared" si="7"/>
        <v>18279.800000000003</v>
      </c>
      <c r="AN34" s="122">
        <f t="shared" si="7"/>
        <v>14674.1</v>
      </c>
      <c r="AO34" s="124">
        <f t="shared" si="7"/>
        <v>252067.30076925785</v>
      </c>
    </row>
    <row r="35" spans="1:41" x14ac:dyDescent="0.35">
      <c r="C35" s="50">
        <f>C32*6</f>
        <v>88704</v>
      </c>
      <c r="D35" s="50">
        <f t="shared" ref="D35:AN35" si="9">D32*6</f>
        <v>61308</v>
      </c>
      <c r="E35" s="50">
        <f t="shared" si="9"/>
        <v>127410</v>
      </c>
      <c r="F35" s="50">
        <f t="shared" si="9"/>
        <v>133176</v>
      </c>
      <c r="G35" s="50">
        <f t="shared" si="9"/>
        <v>9324</v>
      </c>
      <c r="H35" s="50">
        <f t="shared" si="9"/>
        <v>64602</v>
      </c>
      <c r="I35" s="50">
        <f t="shared" si="9"/>
        <v>89610</v>
      </c>
      <c r="J35" s="50">
        <f t="shared" si="9"/>
        <v>107082</v>
      </c>
      <c r="K35" s="50">
        <f t="shared" si="9"/>
        <v>143118</v>
      </c>
      <c r="L35" s="50">
        <f t="shared" si="9"/>
        <v>147672</v>
      </c>
      <c r="M35" s="50">
        <f t="shared" si="9"/>
        <v>138612</v>
      </c>
      <c r="N35" s="50">
        <f t="shared" si="9"/>
        <v>71328</v>
      </c>
      <c r="P35" s="50">
        <f t="shared" ref="P35:AA35" si="10">P32*6</f>
        <v>130506</v>
      </c>
      <c r="Q35" s="50">
        <f t="shared" si="10"/>
        <v>74862</v>
      </c>
      <c r="R35" s="50">
        <f t="shared" si="10"/>
        <v>106158</v>
      </c>
      <c r="S35" s="50">
        <f t="shared" si="10"/>
        <v>126738</v>
      </c>
      <c r="T35" s="50">
        <f t="shared" si="10"/>
        <v>120984</v>
      </c>
      <c r="U35" s="50">
        <f t="shared" si="10"/>
        <v>122100</v>
      </c>
      <c r="V35" s="50">
        <f t="shared" si="10"/>
        <v>130350</v>
      </c>
      <c r="W35" s="50">
        <f t="shared" si="10"/>
        <v>127350</v>
      </c>
      <c r="X35" s="50">
        <f t="shared" si="10"/>
        <v>115050</v>
      </c>
      <c r="Y35" s="50">
        <f t="shared" si="10"/>
        <v>106440</v>
      </c>
      <c r="Z35" s="50">
        <f t="shared" si="10"/>
        <v>101940</v>
      </c>
      <c r="AA35" s="50">
        <f t="shared" si="10"/>
        <v>80730</v>
      </c>
      <c r="AC35" s="50">
        <f>AC32*6</f>
        <v>128580</v>
      </c>
      <c r="AD35" s="50">
        <f t="shared" si="9"/>
        <v>126900</v>
      </c>
      <c r="AE35" s="50">
        <f t="shared" si="9"/>
        <v>129266.64000000001</v>
      </c>
      <c r="AF35" s="50">
        <f t="shared" si="9"/>
        <v>129272.76</v>
      </c>
      <c r="AG35" s="50">
        <f t="shared" si="9"/>
        <v>123403.68</v>
      </c>
      <c r="AH35" s="50">
        <f t="shared" si="9"/>
        <v>124542</v>
      </c>
      <c r="AI35" s="50">
        <f t="shared" si="9"/>
        <v>132957</v>
      </c>
      <c r="AJ35" s="50">
        <f t="shared" si="9"/>
        <v>129897</v>
      </c>
      <c r="AK35" s="50">
        <f t="shared" si="9"/>
        <v>117351</v>
      </c>
      <c r="AL35" s="50">
        <f t="shared" si="9"/>
        <v>108568.80000000002</v>
      </c>
      <c r="AM35" s="50">
        <f t="shared" si="9"/>
        <v>103978.80000000002</v>
      </c>
      <c r="AN35" s="50">
        <f t="shared" si="9"/>
        <v>82344.600000000006</v>
      </c>
    </row>
    <row r="36" spans="1:41" x14ac:dyDescent="0.35"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1"/>
      <c r="AD36" s="90"/>
    </row>
    <row r="37" spans="1:41" x14ac:dyDescent="0.35">
      <c r="P37" s="116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8"/>
    </row>
    <row r="38" spans="1:41" x14ac:dyDescent="0.35">
      <c r="P38" s="116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8"/>
    </row>
    <row r="39" spans="1:41" x14ac:dyDescent="0.35">
      <c r="AB39" s="10"/>
    </row>
  </sheetData>
  <pageMargins left="0.7" right="0.7" top="0.75" bottom="0.75" header="0.3" footer="0.3"/>
  <headerFooter>
    <oddFooter>&amp;L_x000D_&amp;1#&amp;"Aptos"&amp;10&amp;K000000 Confidential External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5D8C-F15A-4783-BBAE-51026729A5E0}">
  <sheetPr codeName="Sheet3"/>
  <dimension ref="A1:AC34"/>
  <sheetViews>
    <sheetView workbookViewId="0">
      <selection activeCell="A24" sqref="A24:A25"/>
    </sheetView>
  </sheetViews>
  <sheetFormatPr defaultColWidth="8.81640625" defaultRowHeight="14.5" x14ac:dyDescent="0.35"/>
  <cols>
    <col min="1" max="1" width="28.81640625" style="1" bestFit="1" customWidth="1"/>
    <col min="2" max="3" width="0" style="1" hidden="1" customWidth="1"/>
    <col min="4" max="13" width="9.26953125" style="1" hidden="1" customWidth="1"/>
    <col min="14" max="14" width="10.453125" style="2" hidden="1" customWidth="1"/>
    <col min="15" max="26" width="9.26953125" style="1" bestFit="1" customWidth="1"/>
    <col min="27" max="27" width="10.453125" style="2" bestFit="1" customWidth="1"/>
    <col min="28" max="28" width="9.26953125" style="1" bestFit="1" customWidth="1"/>
    <col min="29" max="29" width="11.1796875" style="1" bestFit="1" customWidth="1"/>
    <col min="30" max="16384" width="8.81640625" style="1"/>
  </cols>
  <sheetData>
    <row r="1" spans="1:29" ht="15" thickBot="1" x14ac:dyDescent="0.4"/>
    <row r="2" spans="1:29" s="6" customFormat="1" x14ac:dyDescent="0.35">
      <c r="A2" s="6" t="s">
        <v>0</v>
      </c>
      <c r="B2" s="9">
        <v>45658</v>
      </c>
      <c r="C2" s="9">
        <v>45689</v>
      </c>
      <c r="D2" s="9">
        <v>45717</v>
      </c>
      <c r="E2" s="9">
        <v>45748</v>
      </c>
      <c r="F2" s="9">
        <v>45778</v>
      </c>
      <c r="G2" s="9">
        <v>45809</v>
      </c>
      <c r="H2" s="9">
        <v>45839</v>
      </c>
      <c r="I2" s="9">
        <v>45870</v>
      </c>
      <c r="J2" s="9">
        <v>45901</v>
      </c>
      <c r="K2" s="9">
        <v>45931</v>
      </c>
      <c r="L2" s="9">
        <v>45962</v>
      </c>
      <c r="M2" s="9">
        <v>45992</v>
      </c>
      <c r="N2" s="11" t="s">
        <v>1</v>
      </c>
      <c r="O2" s="9">
        <v>46023</v>
      </c>
      <c r="P2" s="9">
        <v>46054</v>
      </c>
      <c r="Q2" s="9">
        <v>46082</v>
      </c>
      <c r="R2" s="9">
        <v>46113</v>
      </c>
      <c r="S2" s="9">
        <v>46143</v>
      </c>
      <c r="T2" s="9">
        <v>46174</v>
      </c>
      <c r="U2" s="9">
        <v>46204</v>
      </c>
      <c r="V2" s="9">
        <v>46235</v>
      </c>
      <c r="W2" s="9">
        <v>46266</v>
      </c>
      <c r="X2" s="9">
        <v>46296</v>
      </c>
      <c r="Y2" s="9">
        <v>46327</v>
      </c>
      <c r="Z2" s="9">
        <v>46357</v>
      </c>
      <c r="AA2" s="11" t="s">
        <v>2</v>
      </c>
      <c r="AB2" s="8"/>
      <c r="AC2" s="8"/>
    </row>
    <row r="3" spans="1:29" s="3" customFormat="1" x14ac:dyDescent="0.35">
      <c r="A3" s="1" t="s">
        <v>5</v>
      </c>
      <c r="B3" s="1"/>
      <c r="N3" s="12"/>
      <c r="O3" s="51">
        <v>250</v>
      </c>
      <c r="P3" s="51">
        <v>250</v>
      </c>
      <c r="Q3" s="51">
        <v>250</v>
      </c>
      <c r="R3" s="51">
        <v>280</v>
      </c>
      <c r="S3" s="51">
        <v>300</v>
      </c>
      <c r="T3" s="51">
        <v>300</v>
      </c>
      <c r="U3" s="51">
        <v>300</v>
      </c>
      <c r="V3" s="51">
        <v>300</v>
      </c>
      <c r="W3" s="51">
        <v>250</v>
      </c>
      <c r="X3" s="51">
        <v>250</v>
      </c>
      <c r="Y3" s="51">
        <v>250</v>
      </c>
      <c r="Z3" s="51">
        <v>250</v>
      </c>
      <c r="AA3" s="12">
        <f>SUM(O3:Z3)</f>
        <v>3230</v>
      </c>
    </row>
    <row r="4" spans="1:29" s="3" customFormat="1" x14ac:dyDescent="0.35">
      <c r="A4" s="1" t="s">
        <v>6</v>
      </c>
      <c r="B4" s="1"/>
      <c r="N4" s="12"/>
      <c r="O4" s="51">
        <v>800</v>
      </c>
      <c r="P4" s="51">
        <v>800</v>
      </c>
      <c r="Q4" s="51">
        <v>800</v>
      </c>
      <c r="R4" s="51">
        <v>1000</v>
      </c>
      <c r="S4" s="51">
        <v>1000</v>
      </c>
      <c r="T4" s="51">
        <v>1000</v>
      </c>
      <c r="U4" s="51">
        <v>1000</v>
      </c>
      <c r="V4" s="51">
        <v>1000</v>
      </c>
      <c r="W4" s="51">
        <v>750</v>
      </c>
      <c r="X4" s="51">
        <v>700</v>
      </c>
      <c r="Y4" s="51">
        <v>700</v>
      </c>
      <c r="Z4" s="51">
        <v>700</v>
      </c>
      <c r="AA4" s="12">
        <f t="shared" ref="AA4:AA31" si="0">SUM(O4:Z4)</f>
        <v>10250</v>
      </c>
    </row>
    <row r="5" spans="1:29" s="3" customFormat="1" x14ac:dyDescent="0.35">
      <c r="A5" s="1" t="s">
        <v>7</v>
      </c>
      <c r="B5" s="1"/>
      <c r="N5" s="12"/>
      <c r="O5" s="51">
        <v>500</v>
      </c>
      <c r="P5" s="51">
        <v>500</v>
      </c>
      <c r="Q5" s="51">
        <v>500</v>
      </c>
      <c r="R5" s="51">
        <v>500</v>
      </c>
      <c r="S5" s="51">
        <v>600</v>
      </c>
      <c r="T5" s="51">
        <v>600</v>
      </c>
      <c r="U5" s="51">
        <v>600</v>
      </c>
      <c r="V5" s="51">
        <v>500</v>
      </c>
      <c r="W5" s="51">
        <v>300</v>
      </c>
      <c r="X5" s="51">
        <v>300</v>
      </c>
      <c r="Y5" s="51">
        <v>300</v>
      </c>
      <c r="Z5" s="51">
        <v>300</v>
      </c>
      <c r="AA5" s="12">
        <f t="shared" si="0"/>
        <v>5500</v>
      </c>
    </row>
    <row r="6" spans="1:29" x14ac:dyDescent="0.35">
      <c r="A6" s="1" t="s">
        <v>8</v>
      </c>
      <c r="N6" s="12"/>
      <c r="O6" s="51">
        <v>550</v>
      </c>
      <c r="P6" s="51">
        <v>550</v>
      </c>
      <c r="Q6" s="51">
        <v>550</v>
      </c>
      <c r="R6" s="51">
        <v>600</v>
      </c>
      <c r="S6" s="51">
        <v>600</v>
      </c>
      <c r="T6" s="51">
        <v>600</v>
      </c>
      <c r="U6" s="51">
        <v>600</v>
      </c>
      <c r="V6" s="51">
        <v>600</v>
      </c>
      <c r="W6" s="51">
        <v>500</v>
      </c>
      <c r="X6" s="51">
        <v>500</v>
      </c>
      <c r="Y6" s="51">
        <v>500</v>
      </c>
      <c r="Z6" s="51">
        <v>500</v>
      </c>
      <c r="AA6" s="12">
        <f t="shared" si="0"/>
        <v>6650</v>
      </c>
    </row>
    <row r="7" spans="1:29" x14ac:dyDescent="0.35">
      <c r="A7" s="1" t="s">
        <v>9</v>
      </c>
      <c r="N7" s="12"/>
      <c r="O7" s="56">
        <v>4000</v>
      </c>
      <c r="P7" s="56">
        <v>3500</v>
      </c>
      <c r="Q7" s="56">
        <v>3500</v>
      </c>
      <c r="R7" s="56">
        <v>4000</v>
      </c>
      <c r="S7" s="56">
        <v>4000</v>
      </c>
      <c r="T7" s="56">
        <v>4000</v>
      </c>
      <c r="U7" s="56">
        <v>4000</v>
      </c>
      <c r="V7" s="56">
        <v>4000</v>
      </c>
      <c r="W7" s="56">
        <v>4000</v>
      </c>
      <c r="X7" s="56">
        <v>2500</v>
      </c>
      <c r="Y7" s="56">
        <v>2500</v>
      </c>
      <c r="Z7" s="56">
        <v>2200</v>
      </c>
      <c r="AA7" s="12">
        <f t="shared" si="0"/>
        <v>42200</v>
      </c>
    </row>
    <row r="8" spans="1:29" x14ac:dyDescent="0.35">
      <c r="A8" s="1" t="s">
        <v>11</v>
      </c>
      <c r="N8" s="12"/>
      <c r="O8" s="51">
        <v>125</v>
      </c>
      <c r="P8" s="51">
        <v>125</v>
      </c>
      <c r="Q8" s="51">
        <v>125</v>
      </c>
      <c r="R8" s="51">
        <v>150</v>
      </c>
      <c r="S8" s="51">
        <v>150</v>
      </c>
      <c r="T8" s="51">
        <v>150</v>
      </c>
      <c r="U8" s="51">
        <v>200</v>
      </c>
      <c r="V8" s="51">
        <v>200</v>
      </c>
      <c r="W8" s="51">
        <v>150</v>
      </c>
      <c r="X8" s="51">
        <v>125</v>
      </c>
      <c r="Y8" s="51">
        <v>125</v>
      </c>
      <c r="Z8" s="51">
        <v>125</v>
      </c>
      <c r="AA8" s="12">
        <f t="shared" si="0"/>
        <v>1750</v>
      </c>
    </row>
    <row r="9" spans="1:29" x14ac:dyDescent="0.35">
      <c r="A9" s="1" t="s">
        <v>12</v>
      </c>
      <c r="N9" s="12"/>
      <c r="O9" s="51">
        <v>250</v>
      </c>
      <c r="P9" s="51">
        <v>250</v>
      </c>
      <c r="Q9" s="51">
        <v>250</v>
      </c>
      <c r="R9" s="51">
        <v>300</v>
      </c>
      <c r="S9" s="51">
        <v>350</v>
      </c>
      <c r="T9" s="51">
        <v>350</v>
      </c>
      <c r="U9" s="51">
        <v>300</v>
      </c>
      <c r="V9" s="51">
        <v>300</v>
      </c>
      <c r="W9" s="51">
        <v>250</v>
      </c>
      <c r="X9" s="51">
        <v>200</v>
      </c>
      <c r="Y9" s="51">
        <v>200</v>
      </c>
      <c r="Z9" s="51">
        <v>200</v>
      </c>
      <c r="AA9" s="12">
        <f t="shared" si="0"/>
        <v>3200</v>
      </c>
    </row>
    <row r="10" spans="1:29" x14ac:dyDescent="0.35">
      <c r="A10" s="1" t="s">
        <v>13</v>
      </c>
      <c r="N10" s="12"/>
      <c r="O10" s="51">
        <v>175</v>
      </c>
      <c r="P10" s="51">
        <v>200</v>
      </c>
      <c r="Q10" s="51">
        <v>200</v>
      </c>
      <c r="R10" s="51">
        <v>200</v>
      </c>
      <c r="S10" s="51">
        <v>200</v>
      </c>
      <c r="T10" s="51">
        <v>200</v>
      </c>
      <c r="U10" s="51">
        <v>200</v>
      </c>
      <c r="V10" s="51">
        <v>175</v>
      </c>
      <c r="W10" s="51">
        <v>175</v>
      </c>
      <c r="X10" s="51">
        <v>150</v>
      </c>
      <c r="Y10" s="51">
        <v>150</v>
      </c>
      <c r="Z10" s="51">
        <v>150</v>
      </c>
      <c r="AA10" s="12">
        <f t="shared" si="0"/>
        <v>2175</v>
      </c>
    </row>
    <row r="11" spans="1:29" x14ac:dyDescent="0.35">
      <c r="A11" s="1" t="s">
        <v>14</v>
      </c>
      <c r="N11" s="12"/>
      <c r="O11" s="56">
        <v>4500</v>
      </c>
      <c r="P11" s="56">
        <v>4500</v>
      </c>
      <c r="Q11" s="56">
        <v>4500</v>
      </c>
      <c r="R11" s="56">
        <v>4500</v>
      </c>
      <c r="S11" s="56">
        <v>5000</v>
      </c>
      <c r="T11" s="56">
        <v>5000</v>
      </c>
      <c r="U11" s="56">
        <v>5000</v>
      </c>
      <c r="V11" s="56">
        <v>5000</v>
      </c>
      <c r="W11" s="56">
        <v>4500</v>
      </c>
      <c r="X11" s="56">
        <v>4500</v>
      </c>
      <c r="Y11" s="56">
        <v>4500</v>
      </c>
      <c r="Z11" s="56">
        <v>4500</v>
      </c>
      <c r="AA11" s="12">
        <f t="shared" si="0"/>
        <v>56000</v>
      </c>
    </row>
    <row r="12" spans="1:29" x14ac:dyDescent="0.35">
      <c r="A12" s="1" t="s">
        <v>15</v>
      </c>
      <c r="N12" s="12"/>
      <c r="O12" s="51">
        <v>300</v>
      </c>
      <c r="P12" s="51">
        <v>300</v>
      </c>
      <c r="Q12" s="51">
        <v>250</v>
      </c>
      <c r="R12" s="51">
        <v>300</v>
      </c>
      <c r="S12" s="51">
        <v>300</v>
      </c>
      <c r="T12" s="51">
        <v>300</v>
      </c>
      <c r="U12" s="51">
        <v>300</v>
      </c>
      <c r="V12" s="51">
        <v>300</v>
      </c>
      <c r="W12" s="51">
        <v>300</v>
      </c>
      <c r="X12" s="51">
        <v>300</v>
      </c>
      <c r="Y12" s="51">
        <v>250</v>
      </c>
      <c r="Z12" s="51">
        <v>250</v>
      </c>
      <c r="AA12" s="12">
        <f>SUM(O12:Z12)</f>
        <v>3450</v>
      </c>
    </row>
    <row r="13" spans="1:29" x14ac:dyDescent="0.35">
      <c r="A13" s="1" t="s">
        <v>17</v>
      </c>
      <c r="N13" s="12"/>
      <c r="O13" s="57">
        <v>0</v>
      </c>
      <c r="P13" s="57">
        <v>0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57">
        <v>0</v>
      </c>
      <c r="W13" s="57">
        <v>0</v>
      </c>
      <c r="X13" s="57">
        <v>0</v>
      </c>
      <c r="Y13" s="57">
        <v>0</v>
      </c>
      <c r="Z13" s="57">
        <v>0</v>
      </c>
      <c r="AA13" s="12">
        <f t="shared" si="0"/>
        <v>0</v>
      </c>
    </row>
    <row r="14" spans="1:29" x14ac:dyDescent="0.35">
      <c r="A14" s="1" t="s">
        <v>21</v>
      </c>
      <c r="N14" s="12"/>
      <c r="O14" s="51">
        <v>60</v>
      </c>
      <c r="P14" s="51">
        <v>60</v>
      </c>
      <c r="Q14" s="51">
        <v>60</v>
      </c>
      <c r="R14" s="51">
        <v>60</v>
      </c>
      <c r="S14" s="51">
        <v>60</v>
      </c>
      <c r="T14" s="51">
        <v>60</v>
      </c>
      <c r="U14" s="51">
        <v>60</v>
      </c>
      <c r="V14" s="51">
        <v>60</v>
      </c>
      <c r="W14" s="51">
        <v>30</v>
      </c>
      <c r="X14" s="51">
        <v>30</v>
      </c>
      <c r="Y14" s="51">
        <v>30</v>
      </c>
      <c r="Z14" s="51">
        <v>30</v>
      </c>
      <c r="AA14" s="12">
        <f t="shared" si="0"/>
        <v>600</v>
      </c>
    </row>
    <row r="15" spans="1:29" x14ac:dyDescent="0.35">
      <c r="A15" s="1" t="s">
        <v>22</v>
      </c>
      <c r="N15" s="12"/>
      <c r="O15" s="57">
        <v>0</v>
      </c>
      <c r="P15" s="57">
        <v>0</v>
      </c>
      <c r="Q15" s="57">
        <v>0</v>
      </c>
      <c r="R15" s="57">
        <v>0</v>
      </c>
      <c r="S15" s="57">
        <v>0</v>
      </c>
      <c r="T15" s="57">
        <v>0</v>
      </c>
      <c r="U15" s="57">
        <v>0</v>
      </c>
      <c r="V15" s="57">
        <v>0</v>
      </c>
      <c r="W15" s="57">
        <v>0</v>
      </c>
      <c r="X15" s="57">
        <v>0</v>
      </c>
      <c r="Y15" s="57">
        <v>0</v>
      </c>
      <c r="Z15" s="57">
        <v>0</v>
      </c>
      <c r="AA15" s="12">
        <f t="shared" si="0"/>
        <v>0</v>
      </c>
    </row>
    <row r="16" spans="1:29" x14ac:dyDescent="0.35">
      <c r="A16" s="1" t="s">
        <v>23</v>
      </c>
      <c r="N16" s="12"/>
      <c r="O16" s="51">
        <v>250</v>
      </c>
      <c r="P16" s="51">
        <v>250</v>
      </c>
      <c r="Q16" s="51">
        <v>200</v>
      </c>
      <c r="R16" s="51">
        <v>300</v>
      </c>
      <c r="S16" s="51">
        <v>250</v>
      </c>
      <c r="T16" s="51">
        <v>250</v>
      </c>
      <c r="U16" s="51">
        <v>250</v>
      </c>
      <c r="V16" s="51">
        <v>250</v>
      </c>
      <c r="W16" s="51">
        <v>150</v>
      </c>
      <c r="X16" s="51">
        <v>150</v>
      </c>
      <c r="Y16" s="51">
        <v>150</v>
      </c>
      <c r="Z16" s="51">
        <v>150</v>
      </c>
      <c r="AA16" s="12">
        <f t="shared" si="0"/>
        <v>2600</v>
      </c>
    </row>
    <row r="17" spans="1:29" x14ac:dyDescent="0.35">
      <c r="A17" s="1" t="s">
        <v>24</v>
      </c>
      <c r="N17" s="12"/>
      <c r="O17" s="51">
        <v>400</v>
      </c>
      <c r="P17" s="51">
        <v>400</v>
      </c>
      <c r="Q17" s="51">
        <v>400</v>
      </c>
      <c r="R17" s="51">
        <v>400</v>
      </c>
      <c r="S17" s="51">
        <v>500</v>
      </c>
      <c r="T17" s="51">
        <v>500</v>
      </c>
      <c r="U17" s="51">
        <v>500</v>
      </c>
      <c r="V17" s="51">
        <v>400</v>
      </c>
      <c r="W17" s="51">
        <v>400</v>
      </c>
      <c r="X17" s="51">
        <v>300</v>
      </c>
      <c r="Y17" s="51">
        <v>300</v>
      </c>
      <c r="Z17" s="51">
        <v>300</v>
      </c>
      <c r="AA17" s="12">
        <f t="shared" si="0"/>
        <v>4800</v>
      </c>
    </row>
    <row r="18" spans="1:29" x14ac:dyDescent="0.35">
      <c r="A18" s="1" t="s">
        <v>25</v>
      </c>
      <c r="N18" s="12"/>
      <c r="O18" s="51">
        <v>100</v>
      </c>
      <c r="P18" s="51">
        <v>100</v>
      </c>
      <c r="Q18" s="51">
        <v>100</v>
      </c>
      <c r="R18" s="51">
        <v>100</v>
      </c>
      <c r="S18" s="51">
        <v>100</v>
      </c>
      <c r="T18" s="51">
        <v>80</v>
      </c>
      <c r="U18" s="51">
        <v>100</v>
      </c>
      <c r="V18" s="51">
        <v>100</v>
      </c>
      <c r="W18" s="51">
        <v>70</v>
      </c>
      <c r="X18" s="51">
        <v>70</v>
      </c>
      <c r="Y18" s="51">
        <v>70</v>
      </c>
      <c r="Z18" s="51">
        <v>70</v>
      </c>
      <c r="AA18" s="12">
        <f t="shared" si="0"/>
        <v>1060</v>
      </c>
    </row>
    <row r="19" spans="1:29" x14ac:dyDescent="0.35">
      <c r="A19" s="1" t="s">
        <v>26</v>
      </c>
      <c r="N19" s="12"/>
      <c r="O19" s="51">
        <v>0</v>
      </c>
      <c r="P19" s="51">
        <v>0</v>
      </c>
      <c r="Q19" s="51">
        <v>0</v>
      </c>
      <c r="R19" s="51">
        <v>40</v>
      </c>
      <c r="S19" s="51">
        <v>40</v>
      </c>
      <c r="T19" s="51">
        <v>40</v>
      </c>
      <c r="U19" s="51">
        <v>40</v>
      </c>
      <c r="V19" s="51">
        <v>40</v>
      </c>
      <c r="W19" s="51">
        <v>40</v>
      </c>
      <c r="X19" s="51">
        <v>30</v>
      </c>
      <c r="Y19" s="51">
        <v>30</v>
      </c>
      <c r="Z19" s="51">
        <v>30</v>
      </c>
      <c r="AA19" s="12">
        <f t="shared" si="0"/>
        <v>330</v>
      </c>
    </row>
    <row r="20" spans="1:29" x14ac:dyDescent="0.35">
      <c r="A20" s="1" t="s">
        <v>27</v>
      </c>
      <c r="N20" s="12"/>
      <c r="O20" s="51">
        <v>300</v>
      </c>
      <c r="P20" s="51">
        <v>250</v>
      </c>
      <c r="Q20" s="51">
        <v>300</v>
      </c>
      <c r="R20" s="51">
        <v>300</v>
      </c>
      <c r="S20" s="51">
        <v>350</v>
      </c>
      <c r="T20" s="51">
        <v>400</v>
      </c>
      <c r="U20" s="51">
        <v>350</v>
      </c>
      <c r="V20" s="51">
        <v>350</v>
      </c>
      <c r="W20" s="51">
        <v>300</v>
      </c>
      <c r="X20" s="51">
        <v>300</v>
      </c>
      <c r="Y20" s="51">
        <v>300</v>
      </c>
      <c r="Z20" s="51">
        <v>300</v>
      </c>
      <c r="AA20" s="12">
        <f t="shared" si="0"/>
        <v>3800</v>
      </c>
    </row>
    <row r="21" spans="1:29" x14ac:dyDescent="0.35">
      <c r="A21" s="1" t="s">
        <v>28</v>
      </c>
      <c r="N21" s="12"/>
      <c r="O21" s="51">
        <v>0</v>
      </c>
      <c r="P21" s="51">
        <v>0</v>
      </c>
      <c r="Q21" s="51">
        <v>50</v>
      </c>
      <c r="R21" s="51">
        <v>50</v>
      </c>
      <c r="S21" s="51">
        <v>50</v>
      </c>
      <c r="T21" s="51">
        <v>50</v>
      </c>
      <c r="U21" s="51">
        <v>50</v>
      </c>
      <c r="V21" s="51">
        <v>50</v>
      </c>
      <c r="W21" s="51">
        <v>50</v>
      </c>
      <c r="X21" s="51">
        <v>50</v>
      </c>
      <c r="Y21" s="51">
        <v>50</v>
      </c>
      <c r="Z21" s="51">
        <v>50</v>
      </c>
      <c r="AA21" s="12">
        <f t="shared" si="0"/>
        <v>500</v>
      </c>
    </row>
    <row r="22" spans="1:29" x14ac:dyDescent="0.35">
      <c r="A22" s="1" t="s">
        <v>29</v>
      </c>
      <c r="N22" s="12"/>
      <c r="O22" s="51">
        <v>500</v>
      </c>
      <c r="P22" s="51">
        <v>400</v>
      </c>
      <c r="Q22" s="51">
        <v>400</v>
      </c>
      <c r="R22" s="51">
        <v>450</v>
      </c>
      <c r="S22" s="51">
        <v>500</v>
      </c>
      <c r="T22" s="51">
        <v>500</v>
      </c>
      <c r="U22" s="51">
        <v>500</v>
      </c>
      <c r="V22" s="51">
        <v>500</v>
      </c>
      <c r="W22" s="51">
        <v>400</v>
      </c>
      <c r="X22" s="51">
        <v>350</v>
      </c>
      <c r="Y22" s="51">
        <v>250</v>
      </c>
      <c r="Z22" s="51">
        <v>250</v>
      </c>
      <c r="AA22" s="12">
        <f t="shared" si="0"/>
        <v>5000</v>
      </c>
    </row>
    <row r="23" spans="1:29" x14ac:dyDescent="0.35">
      <c r="A23" s="1" t="s">
        <v>30</v>
      </c>
      <c r="N23" s="12"/>
      <c r="O23" s="133">
        <v>8000</v>
      </c>
      <c r="P23" s="56">
        <v>7000</v>
      </c>
      <c r="Q23" s="56">
        <v>6000</v>
      </c>
      <c r="R23" s="56">
        <v>7000</v>
      </c>
      <c r="S23" s="56">
        <v>7500</v>
      </c>
      <c r="T23" s="56">
        <v>7500</v>
      </c>
      <c r="U23" s="56">
        <v>7500</v>
      </c>
      <c r="V23" s="56">
        <v>7500</v>
      </c>
      <c r="W23" s="56">
        <v>6000</v>
      </c>
      <c r="X23" s="56">
        <v>5500</v>
      </c>
      <c r="Y23" s="56">
        <v>5500</v>
      </c>
      <c r="Z23" s="56">
        <v>5000</v>
      </c>
      <c r="AA23" s="12">
        <f t="shared" si="0"/>
        <v>80000</v>
      </c>
    </row>
    <row r="24" spans="1:29" x14ac:dyDescent="0.35">
      <c r="A24" s="1" t="str">
        <f>Forecast!B24</f>
        <v>Lemonade Mint 50g</v>
      </c>
      <c r="N24" s="12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12"/>
    </row>
    <row r="25" spans="1:29" x14ac:dyDescent="0.35">
      <c r="A25" s="1" t="str">
        <f>Forecast!B25</f>
        <v>Lemonade Pear 50g</v>
      </c>
      <c r="N25" s="12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12"/>
    </row>
    <row r="26" spans="1:29" x14ac:dyDescent="0.35">
      <c r="A26" s="1" t="str">
        <f>Forecast!B26</f>
        <v>Al Fakher Double Apple Classic 50g</v>
      </c>
      <c r="N26" s="12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12">
        <f t="shared" si="0"/>
        <v>0</v>
      </c>
    </row>
    <row r="27" spans="1:29" x14ac:dyDescent="0.35">
      <c r="A27" s="1" t="str">
        <f>Forecast!B27</f>
        <v>Al Fakher Double Apple Classic 250g</v>
      </c>
      <c r="N27" s="12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12">
        <f t="shared" si="0"/>
        <v>0</v>
      </c>
    </row>
    <row r="28" spans="1:29" x14ac:dyDescent="0.35">
      <c r="A28" s="1" t="str">
        <f>Forecast!B28</f>
        <v>Al Fakher Double Apple Classic 1Kg</v>
      </c>
      <c r="N28" s="12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12">
        <f t="shared" si="0"/>
        <v>0</v>
      </c>
    </row>
    <row r="29" spans="1:29" x14ac:dyDescent="0.35">
      <c r="A29" s="1" t="str">
        <f>Forecast!B29</f>
        <v>Al Fakher Italian Lemon Mint 50g</v>
      </c>
      <c r="N29" s="12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12">
        <f t="shared" si="0"/>
        <v>0</v>
      </c>
    </row>
    <row r="30" spans="1:29" x14ac:dyDescent="0.35">
      <c r="A30" s="1" t="str">
        <f>Forecast!B30</f>
        <v>Al Fakher Italian Lemon Mint 250g</v>
      </c>
      <c r="N30" s="12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12">
        <f t="shared" si="0"/>
        <v>0</v>
      </c>
    </row>
    <row r="31" spans="1:29" x14ac:dyDescent="0.35">
      <c r="A31" s="1" t="str">
        <f>Forecast!B31</f>
        <v>Al Fakher Italian Lemon Mint 1Kg</v>
      </c>
      <c r="N31" s="12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12">
        <f t="shared" si="0"/>
        <v>0</v>
      </c>
    </row>
    <row r="32" spans="1:29" s="2" customFormat="1" ht="15" thickBot="1" x14ac:dyDescent="0.4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3"/>
      <c r="O32" s="3">
        <f>SUM(O3:O31)</f>
        <v>21060</v>
      </c>
      <c r="P32" s="3">
        <f t="shared" ref="P32:Z32" si="1">SUM(P3:P31)</f>
        <v>19435</v>
      </c>
      <c r="Q32" s="3">
        <f t="shared" si="1"/>
        <v>18435</v>
      </c>
      <c r="R32" s="3">
        <f t="shared" si="1"/>
        <v>20530</v>
      </c>
      <c r="S32" s="3">
        <f t="shared" si="1"/>
        <v>21850</v>
      </c>
      <c r="T32" s="3">
        <f t="shared" si="1"/>
        <v>21880</v>
      </c>
      <c r="U32" s="3">
        <f t="shared" si="1"/>
        <v>21850</v>
      </c>
      <c r="V32" s="3">
        <f t="shared" si="1"/>
        <v>21625</v>
      </c>
      <c r="W32" s="3">
        <f t="shared" si="1"/>
        <v>18615</v>
      </c>
      <c r="X32" s="3">
        <f t="shared" si="1"/>
        <v>16305</v>
      </c>
      <c r="Y32" s="3">
        <f t="shared" si="1"/>
        <v>16155</v>
      </c>
      <c r="Z32" s="3">
        <f t="shared" si="1"/>
        <v>15355</v>
      </c>
      <c r="AA32" s="12">
        <f>SUM(AA3:AA23)</f>
        <v>233095</v>
      </c>
      <c r="AB32" s="10"/>
      <c r="AC32" s="38"/>
    </row>
    <row r="33" spans="15:26" x14ac:dyDescent="0.35">
      <c r="O33" s="1">
        <v>20600</v>
      </c>
      <c r="P33" s="1">
        <v>20430</v>
      </c>
      <c r="Q33" s="1">
        <v>19070</v>
      </c>
      <c r="R33" s="1">
        <v>18640</v>
      </c>
      <c r="S33" s="1">
        <v>18820</v>
      </c>
      <c r="T33" s="1">
        <v>18520</v>
      </c>
      <c r="U33" s="1">
        <v>18295</v>
      </c>
      <c r="V33" s="1">
        <v>17745</v>
      </c>
      <c r="W33" s="1">
        <v>16425</v>
      </c>
      <c r="X33" s="1">
        <v>12415</v>
      </c>
      <c r="Y33" s="1">
        <v>12340</v>
      </c>
      <c r="Z33" s="1">
        <v>11790</v>
      </c>
    </row>
    <row r="34" spans="15:26" x14ac:dyDescent="0.35">
      <c r="O34" s="50">
        <f>O32-O33</f>
        <v>460</v>
      </c>
      <c r="P34" s="50">
        <f t="shared" ref="P34:Z34" si="2">P32-P33</f>
        <v>-995</v>
      </c>
      <c r="Q34" s="50">
        <f t="shared" si="2"/>
        <v>-635</v>
      </c>
      <c r="R34" s="50">
        <f t="shared" si="2"/>
        <v>1890</v>
      </c>
      <c r="S34" s="50">
        <f t="shared" si="2"/>
        <v>3030</v>
      </c>
      <c r="T34" s="50">
        <f t="shared" si="2"/>
        <v>3360</v>
      </c>
      <c r="U34" s="50">
        <f t="shared" si="2"/>
        <v>3555</v>
      </c>
      <c r="V34" s="50">
        <f t="shared" si="2"/>
        <v>3880</v>
      </c>
      <c r="W34" s="50">
        <f t="shared" si="2"/>
        <v>2190</v>
      </c>
      <c r="X34" s="50">
        <f t="shared" si="2"/>
        <v>3890</v>
      </c>
      <c r="Y34" s="50">
        <f t="shared" si="2"/>
        <v>3815</v>
      </c>
      <c r="Z34" s="50">
        <f t="shared" si="2"/>
        <v>3565</v>
      </c>
    </row>
  </sheetData>
  <pageMargins left="0.7" right="0.7" top="0.75" bottom="0.75" header="0.3" footer="0.3"/>
  <headerFooter>
    <oddFooter>&amp;L_x000D_&amp;1#&amp;"Aptos"&amp;10&amp;K000000 Confidential External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977E-D46E-4511-942E-25DE79D1FCE0}">
  <sheetPr codeName="Sheet4"/>
  <dimension ref="A1:AC24"/>
  <sheetViews>
    <sheetView topLeftCell="K12" workbookViewId="0">
      <selection activeCell="O24" sqref="O24"/>
    </sheetView>
  </sheetViews>
  <sheetFormatPr defaultColWidth="8.81640625" defaultRowHeight="14.5" x14ac:dyDescent="0.35"/>
  <cols>
    <col min="1" max="1" width="25.81640625" style="1" bestFit="1" customWidth="1"/>
    <col min="2" max="3" width="8.81640625" style="1"/>
    <col min="4" max="13" width="9.26953125" style="1" bestFit="1" customWidth="1"/>
    <col min="14" max="14" width="10.453125" style="2" bestFit="1" customWidth="1"/>
    <col min="15" max="26" width="9.26953125" style="1" bestFit="1" customWidth="1"/>
    <col min="27" max="27" width="10.453125" style="2" bestFit="1" customWidth="1"/>
    <col min="28" max="29" width="9.26953125" style="1" bestFit="1" customWidth="1"/>
    <col min="30" max="16384" width="8.81640625" style="1"/>
  </cols>
  <sheetData>
    <row r="1" spans="1:29" ht="15" thickBot="1" x14ac:dyDescent="0.4"/>
    <row r="2" spans="1:29" s="6" customFormat="1" x14ac:dyDescent="0.35">
      <c r="A2" s="6" t="s">
        <v>0</v>
      </c>
      <c r="B2" s="9">
        <v>45658</v>
      </c>
      <c r="C2" s="9">
        <v>45689</v>
      </c>
      <c r="D2" s="9">
        <v>45717</v>
      </c>
      <c r="E2" s="9">
        <v>45748</v>
      </c>
      <c r="F2" s="9">
        <v>45778</v>
      </c>
      <c r="G2" s="9">
        <v>45809</v>
      </c>
      <c r="H2" s="9">
        <v>45839</v>
      </c>
      <c r="I2" s="9">
        <v>45870</v>
      </c>
      <c r="J2" s="9">
        <v>45901</v>
      </c>
      <c r="K2" s="9">
        <v>45931</v>
      </c>
      <c r="L2" s="9">
        <v>45962</v>
      </c>
      <c r="M2" s="9">
        <v>45992</v>
      </c>
      <c r="N2" s="11" t="s">
        <v>1</v>
      </c>
      <c r="O2" s="9">
        <v>46023</v>
      </c>
      <c r="P2" s="9">
        <v>46054</v>
      </c>
      <c r="Q2" s="9">
        <v>46082</v>
      </c>
      <c r="R2" s="9">
        <v>46113</v>
      </c>
      <c r="S2" s="9">
        <v>46143</v>
      </c>
      <c r="T2" s="9">
        <v>46174</v>
      </c>
      <c r="U2" s="9">
        <v>46204</v>
      </c>
      <c r="V2" s="9">
        <v>46235</v>
      </c>
      <c r="W2" s="9">
        <v>46266</v>
      </c>
      <c r="X2" s="9">
        <v>46296</v>
      </c>
      <c r="Y2" s="9">
        <v>46327</v>
      </c>
      <c r="Z2" s="9">
        <v>46357</v>
      </c>
      <c r="AA2" s="11" t="s">
        <v>2</v>
      </c>
      <c r="AB2" s="8"/>
      <c r="AC2" s="8"/>
    </row>
    <row r="3" spans="1:29" s="3" customFormat="1" x14ac:dyDescent="0.35">
      <c r="A3" s="1" t="s">
        <v>5</v>
      </c>
      <c r="N3" s="12"/>
      <c r="O3" s="3">
        <f>'IMS +ve Sens'!O3-('IMS +ve Sens'!O3*12%)</f>
        <v>220</v>
      </c>
      <c r="P3" s="3">
        <f>'IMS +ve Sens'!P3-('IMS +ve Sens'!P3*12%)</f>
        <v>220</v>
      </c>
      <c r="Q3" s="3">
        <f>'IMS +ve Sens'!Q3-('IMS +ve Sens'!Q3*12%)</f>
        <v>220</v>
      </c>
      <c r="R3" s="3">
        <f>'IMS +ve Sens'!R3-('IMS +ve Sens'!R3*12%)</f>
        <v>246.4</v>
      </c>
      <c r="S3" s="3">
        <f>'IMS +ve Sens'!S3-('IMS +ve Sens'!S3*12%)</f>
        <v>264</v>
      </c>
      <c r="T3" s="3">
        <f>'IMS +ve Sens'!T3-('IMS +ve Sens'!T3*12%)</f>
        <v>264</v>
      </c>
      <c r="U3" s="3">
        <f>'IMS +ve Sens'!U3-('IMS +ve Sens'!U3*12%)</f>
        <v>264</v>
      </c>
      <c r="V3" s="3">
        <f>'IMS +ve Sens'!V3-('IMS +ve Sens'!V3*12%)</f>
        <v>264</v>
      </c>
      <c r="W3" s="3">
        <f>'IMS +ve Sens'!W3-('IMS +ve Sens'!W3*12%)</f>
        <v>220</v>
      </c>
      <c r="X3" s="3">
        <f>'IMS +ve Sens'!X3-('IMS +ve Sens'!X3*12%)</f>
        <v>220</v>
      </c>
      <c r="Y3" s="3">
        <f>'IMS +ve Sens'!Y3-('IMS +ve Sens'!Y3*12%)</f>
        <v>220</v>
      </c>
      <c r="Z3" s="3">
        <f>'IMS +ve Sens'!Z3-('IMS +ve Sens'!Z3*12%)</f>
        <v>220</v>
      </c>
      <c r="AA3" s="12">
        <f>SUM(O3:Z3)</f>
        <v>2842.4</v>
      </c>
    </row>
    <row r="4" spans="1:29" s="3" customFormat="1" x14ac:dyDescent="0.35">
      <c r="A4" s="1" t="s">
        <v>6</v>
      </c>
      <c r="N4" s="12"/>
      <c r="O4" s="3">
        <f>'IMS +ve Sens'!O4-('IMS +ve Sens'!O4*12%)</f>
        <v>704</v>
      </c>
      <c r="P4" s="3">
        <f>'IMS +ve Sens'!P4-('IMS +ve Sens'!P4*12%)</f>
        <v>704</v>
      </c>
      <c r="Q4" s="3">
        <f>'IMS +ve Sens'!Q4-('IMS +ve Sens'!Q4*12%)</f>
        <v>704</v>
      </c>
      <c r="R4" s="3">
        <f>'IMS +ve Sens'!R4-('IMS +ve Sens'!R4*12%)</f>
        <v>880</v>
      </c>
      <c r="S4" s="3">
        <f>'IMS +ve Sens'!S4-('IMS +ve Sens'!S4*12%)</f>
        <v>880</v>
      </c>
      <c r="T4" s="3">
        <f>'IMS +ve Sens'!T4-('IMS +ve Sens'!T4*12%)</f>
        <v>880</v>
      </c>
      <c r="U4" s="3">
        <f>'IMS +ve Sens'!U4-('IMS +ve Sens'!U4*12%)</f>
        <v>880</v>
      </c>
      <c r="V4" s="3">
        <f>'IMS +ve Sens'!V4-('IMS +ve Sens'!V4*12%)</f>
        <v>880</v>
      </c>
      <c r="W4" s="3">
        <f>'IMS +ve Sens'!W4-('IMS +ve Sens'!W4*12%)</f>
        <v>660</v>
      </c>
      <c r="X4" s="3">
        <f>'IMS +ve Sens'!X4-('IMS +ve Sens'!X4*12%)</f>
        <v>616</v>
      </c>
      <c r="Y4" s="3">
        <f>'IMS +ve Sens'!Y4-('IMS +ve Sens'!Y4*12%)</f>
        <v>616</v>
      </c>
      <c r="Z4" s="3">
        <f>'IMS +ve Sens'!Z4-('IMS +ve Sens'!Z4*12%)</f>
        <v>616</v>
      </c>
      <c r="AA4" s="12">
        <f t="shared" ref="AA4:AA24" si="0">SUM(O4:Z4)</f>
        <v>9020</v>
      </c>
    </row>
    <row r="5" spans="1:29" s="3" customFormat="1" x14ac:dyDescent="0.35">
      <c r="A5" s="1" t="s">
        <v>7</v>
      </c>
      <c r="N5" s="12"/>
      <c r="O5" s="3">
        <f>'IMS +ve Sens'!O5-('IMS +ve Sens'!O5*12%)</f>
        <v>440</v>
      </c>
      <c r="P5" s="3">
        <f>'IMS +ve Sens'!P5-('IMS +ve Sens'!P5*12%)</f>
        <v>440</v>
      </c>
      <c r="Q5" s="3">
        <f>'IMS +ve Sens'!Q5-('IMS +ve Sens'!Q5*12%)</f>
        <v>440</v>
      </c>
      <c r="R5" s="3">
        <f>'IMS +ve Sens'!R5-('IMS +ve Sens'!R5*12%)</f>
        <v>440</v>
      </c>
      <c r="S5" s="3">
        <f>'IMS +ve Sens'!S5-('IMS +ve Sens'!S5*12%)</f>
        <v>528</v>
      </c>
      <c r="T5" s="3">
        <f>'IMS +ve Sens'!T5-('IMS +ve Sens'!T5*12%)</f>
        <v>528</v>
      </c>
      <c r="U5" s="3">
        <f>'IMS +ve Sens'!U5-('IMS +ve Sens'!U5*12%)</f>
        <v>528</v>
      </c>
      <c r="V5" s="3">
        <f>'IMS +ve Sens'!V5-('IMS +ve Sens'!V5*12%)</f>
        <v>440</v>
      </c>
      <c r="W5" s="3">
        <f>'IMS +ve Sens'!W5-('IMS +ve Sens'!W5*12%)</f>
        <v>264</v>
      </c>
      <c r="X5" s="3">
        <f>'IMS +ve Sens'!X5-('IMS +ve Sens'!X5*12%)</f>
        <v>264</v>
      </c>
      <c r="Y5" s="3">
        <f>'IMS +ve Sens'!Y5-('IMS +ve Sens'!Y5*12%)</f>
        <v>264</v>
      </c>
      <c r="Z5" s="3">
        <f>'IMS +ve Sens'!Z5-('IMS +ve Sens'!Z5*12%)</f>
        <v>264</v>
      </c>
      <c r="AA5" s="12">
        <f t="shared" si="0"/>
        <v>4840</v>
      </c>
    </row>
    <row r="6" spans="1:29" x14ac:dyDescent="0.35">
      <c r="A6" s="1" t="s">
        <v>8</v>
      </c>
      <c r="N6" s="12"/>
      <c r="O6" s="3">
        <f>'IMS +ve Sens'!O6-('IMS +ve Sens'!O6*12%)</f>
        <v>484</v>
      </c>
      <c r="P6" s="3">
        <f>'IMS +ve Sens'!P6-('IMS +ve Sens'!P6*12%)</f>
        <v>484</v>
      </c>
      <c r="Q6" s="3">
        <f>'IMS +ve Sens'!Q6-('IMS +ve Sens'!Q6*12%)</f>
        <v>484</v>
      </c>
      <c r="R6" s="3">
        <f>'IMS +ve Sens'!R6-('IMS +ve Sens'!R6*12%)</f>
        <v>528</v>
      </c>
      <c r="S6" s="3">
        <f>'IMS +ve Sens'!S6-('IMS +ve Sens'!S6*12%)</f>
        <v>528</v>
      </c>
      <c r="T6" s="3">
        <f>'IMS +ve Sens'!T6-('IMS +ve Sens'!T6*12%)</f>
        <v>528</v>
      </c>
      <c r="U6" s="3">
        <f>'IMS +ve Sens'!U6-('IMS +ve Sens'!U6*12%)</f>
        <v>528</v>
      </c>
      <c r="V6" s="3">
        <f>'IMS +ve Sens'!V6-('IMS +ve Sens'!V6*12%)</f>
        <v>528</v>
      </c>
      <c r="W6" s="3">
        <f>'IMS +ve Sens'!W6-('IMS +ve Sens'!W6*12%)</f>
        <v>440</v>
      </c>
      <c r="X6" s="3">
        <f>'IMS +ve Sens'!X6-('IMS +ve Sens'!X6*12%)</f>
        <v>440</v>
      </c>
      <c r="Y6" s="3">
        <f>'IMS +ve Sens'!Y6-('IMS +ve Sens'!Y6*12%)</f>
        <v>440</v>
      </c>
      <c r="Z6" s="3">
        <f>'IMS +ve Sens'!Z6-('IMS +ve Sens'!Z6*12%)</f>
        <v>440</v>
      </c>
      <c r="AA6" s="12">
        <f t="shared" si="0"/>
        <v>5852</v>
      </c>
    </row>
    <row r="7" spans="1:29" x14ac:dyDescent="0.35">
      <c r="A7" s="1" t="s">
        <v>9</v>
      </c>
      <c r="N7" s="12"/>
      <c r="O7" s="3">
        <f>'IMS +ve Sens'!O7-('IMS +ve Sens'!O7*12%)</f>
        <v>3520</v>
      </c>
      <c r="P7" s="3">
        <f>'IMS +ve Sens'!P7-('IMS +ve Sens'!P7*12%)</f>
        <v>3080</v>
      </c>
      <c r="Q7" s="3">
        <f>'IMS +ve Sens'!Q7-('IMS +ve Sens'!Q7*12%)</f>
        <v>3080</v>
      </c>
      <c r="R7" s="3">
        <f>'IMS +ve Sens'!R7-('IMS +ve Sens'!R7*12%)</f>
        <v>3520</v>
      </c>
      <c r="S7" s="3">
        <f>'IMS +ve Sens'!S7-('IMS +ve Sens'!S7*12%)</f>
        <v>3520</v>
      </c>
      <c r="T7" s="3">
        <f>'IMS +ve Sens'!T7-('IMS +ve Sens'!T7*12%)</f>
        <v>3520</v>
      </c>
      <c r="U7" s="3">
        <f>'IMS +ve Sens'!U7-('IMS +ve Sens'!U7*12%)</f>
        <v>3520</v>
      </c>
      <c r="V7" s="3">
        <f>'IMS +ve Sens'!V7-('IMS +ve Sens'!V7*12%)</f>
        <v>3520</v>
      </c>
      <c r="W7" s="3">
        <f>'IMS +ve Sens'!W7-('IMS +ve Sens'!W7*12%)</f>
        <v>3520</v>
      </c>
      <c r="X7" s="3">
        <f>'IMS +ve Sens'!X7-('IMS +ve Sens'!X7*12%)</f>
        <v>2200</v>
      </c>
      <c r="Y7" s="3">
        <f>'IMS +ve Sens'!Y7-('IMS +ve Sens'!Y7*12%)</f>
        <v>2200</v>
      </c>
      <c r="Z7" s="3">
        <f>'IMS +ve Sens'!Z7-('IMS +ve Sens'!Z7*12%)</f>
        <v>1936</v>
      </c>
      <c r="AA7" s="12">
        <f t="shared" si="0"/>
        <v>37136</v>
      </c>
    </row>
    <row r="8" spans="1:29" x14ac:dyDescent="0.35">
      <c r="A8" s="1" t="s">
        <v>11</v>
      </c>
      <c r="N8" s="12"/>
      <c r="O8" s="3">
        <f>'IMS +ve Sens'!O8-('IMS +ve Sens'!O8*12%)</f>
        <v>110</v>
      </c>
      <c r="P8" s="3">
        <f>'IMS +ve Sens'!P8-('IMS +ve Sens'!P8*12%)</f>
        <v>110</v>
      </c>
      <c r="Q8" s="3">
        <f>'IMS +ve Sens'!Q8-('IMS +ve Sens'!Q8*12%)</f>
        <v>110</v>
      </c>
      <c r="R8" s="3">
        <f>'IMS +ve Sens'!R8-('IMS +ve Sens'!R8*12%)</f>
        <v>132</v>
      </c>
      <c r="S8" s="3">
        <f>'IMS +ve Sens'!S8-('IMS +ve Sens'!S8*12%)</f>
        <v>132</v>
      </c>
      <c r="T8" s="3">
        <f>'IMS +ve Sens'!T8-('IMS +ve Sens'!T8*12%)</f>
        <v>132</v>
      </c>
      <c r="U8" s="3">
        <f>'IMS +ve Sens'!U8-('IMS +ve Sens'!U8*12%)</f>
        <v>176</v>
      </c>
      <c r="V8" s="3">
        <f>'IMS +ve Sens'!V8-('IMS +ve Sens'!V8*12%)</f>
        <v>176</v>
      </c>
      <c r="W8" s="3">
        <f>'IMS +ve Sens'!W8-('IMS +ve Sens'!W8*12%)</f>
        <v>132</v>
      </c>
      <c r="X8" s="3">
        <f>'IMS +ve Sens'!X8-('IMS +ve Sens'!X8*12%)</f>
        <v>110</v>
      </c>
      <c r="Y8" s="3">
        <f>'IMS +ve Sens'!Y8-('IMS +ve Sens'!Y8*12%)</f>
        <v>110</v>
      </c>
      <c r="Z8" s="3">
        <f>'IMS +ve Sens'!Z8-('IMS +ve Sens'!Z8*12%)</f>
        <v>110</v>
      </c>
      <c r="AA8" s="12">
        <f t="shared" si="0"/>
        <v>1540</v>
      </c>
    </row>
    <row r="9" spans="1:29" x14ac:dyDescent="0.35">
      <c r="A9" s="1" t="s">
        <v>12</v>
      </c>
      <c r="N9" s="12"/>
      <c r="O9" s="3">
        <f>'IMS +ve Sens'!O9-('IMS +ve Sens'!O9*12%)</f>
        <v>220</v>
      </c>
      <c r="P9" s="3">
        <f>'IMS +ve Sens'!P9-('IMS +ve Sens'!P9*12%)</f>
        <v>220</v>
      </c>
      <c r="Q9" s="3">
        <f>'IMS +ve Sens'!Q9-('IMS +ve Sens'!Q9*12%)</f>
        <v>220</v>
      </c>
      <c r="R9" s="3">
        <f>'IMS +ve Sens'!R9-('IMS +ve Sens'!R9*12%)</f>
        <v>264</v>
      </c>
      <c r="S9" s="3">
        <f>'IMS +ve Sens'!S9-('IMS +ve Sens'!S9*12%)</f>
        <v>308</v>
      </c>
      <c r="T9" s="3">
        <f>'IMS +ve Sens'!T9-('IMS +ve Sens'!T9*12%)</f>
        <v>308</v>
      </c>
      <c r="U9" s="3">
        <f>'IMS +ve Sens'!U9-('IMS +ve Sens'!U9*12%)</f>
        <v>264</v>
      </c>
      <c r="V9" s="3">
        <f>'IMS +ve Sens'!V9-('IMS +ve Sens'!V9*12%)</f>
        <v>264</v>
      </c>
      <c r="W9" s="3">
        <f>'IMS +ve Sens'!W9-('IMS +ve Sens'!W9*12%)</f>
        <v>220</v>
      </c>
      <c r="X9" s="3">
        <f>'IMS +ve Sens'!X9-('IMS +ve Sens'!X9*12%)</f>
        <v>176</v>
      </c>
      <c r="Y9" s="3">
        <f>'IMS +ve Sens'!Y9-('IMS +ve Sens'!Y9*12%)</f>
        <v>176</v>
      </c>
      <c r="Z9" s="3">
        <f>'IMS +ve Sens'!Z9-('IMS +ve Sens'!Z9*12%)</f>
        <v>176</v>
      </c>
      <c r="AA9" s="12">
        <f t="shared" si="0"/>
        <v>2816</v>
      </c>
    </row>
    <row r="10" spans="1:29" x14ac:dyDescent="0.35">
      <c r="A10" s="1" t="s">
        <v>13</v>
      </c>
      <c r="N10" s="12"/>
      <c r="O10" s="3">
        <f>'IMS +ve Sens'!O10-('IMS +ve Sens'!O10*12%)</f>
        <v>154</v>
      </c>
      <c r="P10" s="3">
        <f>'IMS +ve Sens'!P10-('IMS +ve Sens'!P10*12%)</f>
        <v>176</v>
      </c>
      <c r="Q10" s="3">
        <f>'IMS +ve Sens'!Q10-('IMS +ve Sens'!Q10*12%)</f>
        <v>176</v>
      </c>
      <c r="R10" s="3">
        <f>'IMS +ve Sens'!R10-('IMS +ve Sens'!R10*12%)</f>
        <v>176</v>
      </c>
      <c r="S10" s="3">
        <f>'IMS +ve Sens'!S10-('IMS +ve Sens'!S10*12%)</f>
        <v>176</v>
      </c>
      <c r="T10" s="3">
        <f>'IMS +ve Sens'!T10-('IMS +ve Sens'!T10*12%)</f>
        <v>176</v>
      </c>
      <c r="U10" s="3">
        <f>'IMS +ve Sens'!U10-('IMS +ve Sens'!U10*12%)</f>
        <v>176</v>
      </c>
      <c r="V10" s="3">
        <f>'IMS +ve Sens'!V10-('IMS +ve Sens'!V10*12%)</f>
        <v>154</v>
      </c>
      <c r="W10" s="3">
        <f>'IMS +ve Sens'!W10-('IMS +ve Sens'!W10*12%)</f>
        <v>154</v>
      </c>
      <c r="X10" s="3">
        <f>'IMS +ve Sens'!X10-('IMS +ve Sens'!X10*12%)</f>
        <v>132</v>
      </c>
      <c r="Y10" s="3">
        <f>'IMS +ve Sens'!Y10-('IMS +ve Sens'!Y10*12%)</f>
        <v>132</v>
      </c>
      <c r="Z10" s="3">
        <f>'IMS +ve Sens'!Z10-('IMS +ve Sens'!Z10*12%)</f>
        <v>132</v>
      </c>
      <c r="AA10" s="12">
        <f t="shared" si="0"/>
        <v>1914</v>
      </c>
    </row>
    <row r="11" spans="1:29" x14ac:dyDescent="0.35">
      <c r="A11" s="1" t="s">
        <v>14</v>
      </c>
      <c r="N11" s="12"/>
      <c r="O11" s="3">
        <f>'IMS +ve Sens'!O11-('IMS +ve Sens'!O11*12%)</f>
        <v>3960</v>
      </c>
      <c r="P11" s="3">
        <f>'IMS +ve Sens'!P11-('IMS +ve Sens'!P11*12%)</f>
        <v>3960</v>
      </c>
      <c r="Q11" s="3">
        <f>'IMS +ve Sens'!Q11-('IMS +ve Sens'!Q11*12%)</f>
        <v>3960</v>
      </c>
      <c r="R11" s="3">
        <f>'IMS +ve Sens'!R11-('IMS +ve Sens'!R11*12%)</f>
        <v>3960</v>
      </c>
      <c r="S11" s="3">
        <f>'IMS +ve Sens'!S11-('IMS +ve Sens'!S11*12%)</f>
        <v>4400</v>
      </c>
      <c r="T11" s="3">
        <f>'IMS +ve Sens'!T11-('IMS +ve Sens'!T11*12%)</f>
        <v>4400</v>
      </c>
      <c r="U11" s="3">
        <f>'IMS +ve Sens'!U11-('IMS +ve Sens'!U11*12%)</f>
        <v>4400</v>
      </c>
      <c r="V11" s="3">
        <f>'IMS +ve Sens'!V11-('IMS +ve Sens'!V11*12%)</f>
        <v>4400</v>
      </c>
      <c r="W11" s="3">
        <f>'IMS +ve Sens'!W11-('IMS +ve Sens'!W11*12%)</f>
        <v>3960</v>
      </c>
      <c r="X11" s="3">
        <f>'IMS +ve Sens'!X11-('IMS +ve Sens'!X11*12%)</f>
        <v>3960</v>
      </c>
      <c r="Y11" s="3">
        <f>'IMS +ve Sens'!Y11-('IMS +ve Sens'!Y11*12%)</f>
        <v>3960</v>
      </c>
      <c r="Z11" s="3">
        <f>'IMS +ve Sens'!Z11-('IMS +ve Sens'!Z11*12%)</f>
        <v>3960</v>
      </c>
      <c r="AA11" s="12">
        <f t="shared" si="0"/>
        <v>49280</v>
      </c>
    </row>
    <row r="12" spans="1:29" x14ac:dyDescent="0.35">
      <c r="A12" s="1" t="s">
        <v>15</v>
      </c>
      <c r="N12" s="12"/>
      <c r="O12" s="3">
        <f>'IMS +ve Sens'!O12-('IMS +ve Sens'!O12*12%)</f>
        <v>264</v>
      </c>
      <c r="P12" s="3">
        <f>'IMS +ve Sens'!P12-('IMS +ve Sens'!P12*12%)</f>
        <v>264</v>
      </c>
      <c r="Q12" s="3">
        <f>'IMS +ve Sens'!Q12-('IMS +ve Sens'!Q12*12%)</f>
        <v>220</v>
      </c>
      <c r="R12" s="3">
        <f>'IMS +ve Sens'!R12-('IMS +ve Sens'!R12*12%)</f>
        <v>264</v>
      </c>
      <c r="S12" s="3">
        <f>'IMS +ve Sens'!S12-('IMS +ve Sens'!S12*12%)</f>
        <v>264</v>
      </c>
      <c r="T12" s="3">
        <f>'IMS +ve Sens'!T12-('IMS +ve Sens'!T12*12%)</f>
        <v>264</v>
      </c>
      <c r="U12" s="3">
        <f>'IMS +ve Sens'!U12-('IMS +ve Sens'!U12*12%)</f>
        <v>264</v>
      </c>
      <c r="V12" s="3">
        <f>'IMS +ve Sens'!V12-('IMS +ve Sens'!V12*12%)</f>
        <v>264</v>
      </c>
      <c r="W12" s="3">
        <f>'IMS +ve Sens'!W12-('IMS +ve Sens'!W12*12%)</f>
        <v>264</v>
      </c>
      <c r="X12" s="3">
        <f>'IMS +ve Sens'!X12-('IMS +ve Sens'!X12*12%)</f>
        <v>264</v>
      </c>
      <c r="Y12" s="3">
        <f>'IMS +ve Sens'!Y12-('IMS +ve Sens'!Y12*12%)</f>
        <v>220</v>
      </c>
      <c r="Z12" s="3">
        <f>'IMS +ve Sens'!Z12-('IMS +ve Sens'!Z12*12%)</f>
        <v>220</v>
      </c>
      <c r="AA12" s="12">
        <f t="shared" si="0"/>
        <v>3036</v>
      </c>
    </row>
    <row r="13" spans="1:29" x14ac:dyDescent="0.35">
      <c r="A13" s="1" t="s">
        <v>17</v>
      </c>
      <c r="N13" s="12"/>
      <c r="O13" s="3">
        <f>'IMS +ve Sens'!O13-('IMS +ve Sens'!O13*12%)</f>
        <v>0</v>
      </c>
      <c r="P13" s="3">
        <f>'IMS +ve Sens'!P13-('IMS +ve Sens'!P13*12%)</f>
        <v>0</v>
      </c>
      <c r="Q13" s="3">
        <f>'IMS +ve Sens'!Q13-('IMS +ve Sens'!Q13*12%)</f>
        <v>0</v>
      </c>
      <c r="R13" s="3">
        <f>'IMS +ve Sens'!R13-('IMS +ve Sens'!R13*12%)</f>
        <v>0</v>
      </c>
      <c r="S13" s="3">
        <f>'IMS +ve Sens'!S13-('IMS +ve Sens'!S13*12%)</f>
        <v>0</v>
      </c>
      <c r="T13" s="3">
        <f>'IMS +ve Sens'!T13-('IMS +ve Sens'!T13*12%)</f>
        <v>0</v>
      </c>
      <c r="U13" s="3">
        <f>'IMS +ve Sens'!U13-('IMS +ve Sens'!U13*12%)</f>
        <v>0</v>
      </c>
      <c r="V13" s="3">
        <f>'IMS +ve Sens'!V13-('IMS +ve Sens'!V13*12%)</f>
        <v>0</v>
      </c>
      <c r="W13" s="3">
        <f>'IMS +ve Sens'!W13-('IMS +ve Sens'!W13*12%)</f>
        <v>0</v>
      </c>
      <c r="X13" s="3">
        <f>'IMS +ve Sens'!X13-('IMS +ve Sens'!X13*12%)</f>
        <v>0</v>
      </c>
      <c r="Y13" s="3">
        <f>'IMS +ve Sens'!Y13-('IMS +ve Sens'!Y13*12%)</f>
        <v>0</v>
      </c>
      <c r="Z13" s="3">
        <f>'IMS +ve Sens'!Z13-('IMS +ve Sens'!Z13*12%)</f>
        <v>0</v>
      </c>
      <c r="AA13" s="12">
        <f t="shared" si="0"/>
        <v>0</v>
      </c>
    </row>
    <row r="14" spans="1:29" x14ac:dyDescent="0.35">
      <c r="A14" s="1" t="s">
        <v>21</v>
      </c>
      <c r="N14" s="12"/>
      <c r="O14" s="3">
        <f>'IMS +ve Sens'!O14-('IMS +ve Sens'!O14*12%)</f>
        <v>52.8</v>
      </c>
      <c r="P14" s="3">
        <f>'IMS +ve Sens'!P14-('IMS +ve Sens'!P14*12%)</f>
        <v>52.8</v>
      </c>
      <c r="Q14" s="3">
        <f>'IMS +ve Sens'!Q14-('IMS +ve Sens'!Q14*12%)</f>
        <v>52.8</v>
      </c>
      <c r="R14" s="3">
        <f>'IMS +ve Sens'!R14-('IMS +ve Sens'!R14*12%)</f>
        <v>52.8</v>
      </c>
      <c r="S14" s="3">
        <f>'IMS +ve Sens'!S14-('IMS +ve Sens'!S14*12%)</f>
        <v>52.8</v>
      </c>
      <c r="T14" s="3">
        <f>'IMS +ve Sens'!T14-('IMS +ve Sens'!T14*12%)</f>
        <v>52.8</v>
      </c>
      <c r="U14" s="3">
        <f>'IMS +ve Sens'!U14-('IMS +ve Sens'!U14*12%)</f>
        <v>52.8</v>
      </c>
      <c r="V14" s="3">
        <f>'IMS +ve Sens'!V14-('IMS +ve Sens'!V14*12%)</f>
        <v>52.8</v>
      </c>
      <c r="W14" s="3">
        <f>'IMS +ve Sens'!W14-('IMS +ve Sens'!W14*12%)</f>
        <v>26.4</v>
      </c>
      <c r="X14" s="3">
        <f>'IMS +ve Sens'!X14-('IMS +ve Sens'!X14*12%)</f>
        <v>26.4</v>
      </c>
      <c r="Y14" s="3">
        <f>'IMS +ve Sens'!Y14-('IMS +ve Sens'!Y14*12%)</f>
        <v>26.4</v>
      </c>
      <c r="Z14" s="3">
        <f>'IMS +ve Sens'!Z14-('IMS +ve Sens'!Z14*12%)</f>
        <v>26.4</v>
      </c>
      <c r="AA14" s="12">
        <f t="shared" si="0"/>
        <v>528</v>
      </c>
    </row>
    <row r="15" spans="1:29" x14ac:dyDescent="0.35">
      <c r="A15" s="1" t="s">
        <v>22</v>
      </c>
      <c r="N15" s="12"/>
      <c r="O15" s="3">
        <f>'IMS +ve Sens'!O15-('IMS +ve Sens'!O15*12%)</f>
        <v>0</v>
      </c>
      <c r="P15" s="3">
        <f>'IMS +ve Sens'!P15-('IMS +ve Sens'!P15*12%)</f>
        <v>0</v>
      </c>
      <c r="Q15" s="3">
        <f>'IMS +ve Sens'!Q15-('IMS +ve Sens'!Q15*12%)</f>
        <v>0</v>
      </c>
      <c r="R15" s="3">
        <f>'IMS +ve Sens'!R15-('IMS +ve Sens'!R15*12%)</f>
        <v>0</v>
      </c>
      <c r="S15" s="3">
        <f>'IMS +ve Sens'!S15-('IMS +ve Sens'!S15*12%)</f>
        <v>0</v>
      </c>
      <c r="T15" s="3">
        <f>'IMS +ve Sens'!T15-('IMS +ve Sens'!T15*12%)</f>
        <v>0</v>
      </c>
      <c r="U15" s="3">
        <f>'IMS +ve Sens'!U15-('IMS +ve Sens'!U15*12%)</f>
        <v>0</v>
      </c>
      <c r="V15" s="3">
        <f>'IMS +ve Sens'!V15-('IMS +ve Sens'!V15*12%)</f>
        <v>0</v>
      </c>
      <c r="W15" s="3">
        <f>'IMS +ve Sens'!W15-('IMS +ve Sens'!W15*12%)</f>
        <v>0</v>
      </c>
      <c r="X15" s="3">
        <f>'IMS +ve Sens'!X15-('IMS +ve Sens'!X15*12%)</f>
        <v>0</v>
      </c>
      <c r="Y15" s="3">
        <f>'IMS +ve Sens'!Y15-('IMS +ve Sens'!Y15*12%)</f>
        <v>0</v>
      </c>
      <c r="Z15" s="3">
        <f>'IMS +ve Sens'!Z15-('IMS +ve Sens'!Z15*12%)</f>
        <v>0</v>
      </c>
      <c r="AA15" s="12">
        <f t="shared" si="0"/>
        <v>0</v>
      </c>
    </row>
    <row r="16" spans="1:29" x14ac:dyDescent="0.35">
      <c r="A16" s="1" t="s">
        <v>23</v>
      </c>
      <c r="N16" s="12"/>
      <c r="O16" s="3">
        <f>'IMS +ve Sens'!O16-('IMS +ve Sens'!O16*12%)</f>
        <v>220</v>
      </c>
      <c r="P16" s="3">
        <f>'IMS +ve Sens'!P16-('IMS +ve Sens'!P16*12%)</f>
        <v>220</v>
      </c>
      <c r="Q16" s="3">
        <f>'IMS +ve Sens'!Q16-('IMS +ve Sens'!Q16*12%)</f>
        <v>176</v>
      </c>
      <c r="R16" s="3">
        <f>'IMS +ve Sens'!R16-('IMS +ve Sens'!R16*12%)</f>
        <v>264</v>
      </c>
      <c r="S16" s="3">
        <f>'IMS +ve Sens'!S16-('IMS +ve Sens'!S16*12%)</f>
        <v>220</v>
      </c>
      <c r="T16" s="3">
        <f>'IMS +ve Sens'!T16-('IMS +ve Sens'!T16*12%)</f>
        <v>220</v>
      </c>
      <c r="U16" s="3">
        <f>'IMS +ve Sens'!U16-('IMS +ve Sens'!U16*12%)</f>
        <v>220</v>
      </c>
      <c r="V16" s="3">
        <f>'IMS +ve Sens'!V16-('IMS +ve Sens'!V16*12%)</f>
        <v>220</v>
      </c>
      <c r="W16" s="3">
        <f>'IMS +ve Sens'!W16-('IMS +ve Sens'!W16*12%)</f>
        <v>132</v>
      </c>
      <c r="X16" s="3">
        <f>'IMS +ve Sens'!X16-('IMS +ve Sens'!X16*12%)</f>
        <v>132</v>
      </c>
      <c r="Y16" s="3">
        <f>'IMS +ve Sens'!Y16-('IMS +ve Sens'!Y16*12%)</f>
        <v>132</v>
      </c>
      <c r="Z16" s="3">
        <f>'IMS +ve Sens'!Z16-('IMS +ve Sens'!Z16*12%)</f>
        <v>132</v>
      </c>
      <c r="AA16" s="12">
        <f t="shared" si="0"/>
        <v>2288</v>
      </c>
    </row>
    <row r="17" spans="1:27" x14ac:dyDescent="0.35">
      <c r="A17" s="1" t="s">
        <v>24</v>
      </c>
      <c r="N17" s="12"/>
      <c r="O17" s="3">
        <f>'IMS +ve Sens'!O17-('IMS +ve Sens'!O17*12%)</f>
        <v>352</v>
      </c>
      <c r="P17" s="3">
        <f>'IMS +ve Sens'!P17-('IMS +ve Sens'!P17*12%)</f>
        <v>352</v>
      </c>
      <c r="Q17" s="3">
        <f>'IMS +ve Sens'!Q17-('IMS +ve Sens'!Q17*12%)</f>
        <v>352</v>
      </c>
      <c r="R17" s="3">
        <f>'IMS +ve Sens'!R17-('IMS +ve Sens'!R17*12%)</f>
        <v>352</v>
      </c>
      <c r="S17" s="3">
        <f>'IMS +ve Sens'!S17-('IMS +ve Sens'!S17*12%)</f>
        <v>440</v>
      </c>
      <c r="T17" s="3">
        <f>'IMS +ve Sens'!T17-('IMS +ve Sens'!T17*12%)</f>
        <v>440</v>
      </c>
      <c r="U17" s="3">
        <f>'IMS +ve Sens'!U17-('IMS +ve Sens'!U17*12%)</f>
        <v>440</v>
      </c>
      <c r="V17" s="3">
        <f>'IMS +ve Sens'!V17-('IMS +ve Sens'!V17*12%)</f>
        <v>352</v>
      </c>
      <c r="W17" s="3">
        <f>'IMS +ve Sens'!W17-('IMS +ve Sens'!W17*12%)</f>
        <v>352</v>
      </c>
      <c r="X17" s="3">
        <f>'IMS +ve Sens'!X17-('IMS +ve Sens'!X17*12%)</f>
        <v>264</v>
      </c>
      <c r="Y17" s="3">
        <f>'IMS +ve Sens'!Y17-('IMS +ve Sens'!Y17*12%)</f>
        <v>264</v>
      </c>
      <c r="Z17" s="3">
        <f>'IMS +ve Sens'!Z17-('IMS +ve Sens'!Z17*12%)</f>
        <v>264</v>
      </c>
      <c r="AA17" s="12">
        <f t="shared" si="0"/>
        <v>4224</v>
      </c>
    </row>
    <row r="18" spans="1:27" x14ac:dyDescent="0.35">
      <c r="A18" s="1" t="s">
        <v>25</v>
      </c>
      <c r="N18" s="12"/>
      <c r="O18" s="3">
        <f>'IMS +ve Sens'!O18-('IMS +ve Sens'!O18*12%)</f>
        <v>88</v>
      </c>
      <c r="P18" s="3">
        <f>'IMS +ve Sens'!P18-('IMS +ve Sens'!P18*12%)</f>
        <v>88</v>
      </c>
      <c r="Q18" s="3">
        <f>'IMS +ve Sens'!Q18-('IMS +ve Sens'!Q18*12%)</f>
        <v>88</v>
      </c>
      <c r="R18" s="3">
        <f>'IMS +ve Sens'!R18-('IMS +ve Sens'!R18*12%)</f>
        <v>88</v>
      </c>
      <c r="S18" s="3">
        <f>'IMS +ve Sens'!S18-('IMS +ve Sens'!S18*12%)</f>
        <v>88</v>
      </c>
      <c r="T18" s="3">
        <f>'IMS +ve Sens'!T18-('IMS +ve Sens'!T18*12%)</f>
        <v>70.400000000000006</v>
      </c>
      <c r="U18" s="3">
        <f>'IMS +ve Sens'!U18-('IMS +ve Sens'!U18*12%)</f>
        <v>88</v>
      </c>
      <c r="V18" s="3">
        <f>'IMS +ve Sens'!V18-('IMS +ve Sens'!V18*12%)</f>
        <v>88</v>
      </c>
      <c r="W18" s="3">
        <f>'IMS +ve Sens'!W18-('IMS +ve Sens'!W18*12%)</f>
        <v>61.6</v>
      </c>
      <c r="X18" s="3">
        <f>'IMS +ve Sens'!X18-('IMS +ve Sens'!X18*12%)</f>
        <v>61.6</v>
      </c>
      <c r="Y18" s="3">
        <f>'IMS +ve Sens'!Y18-('IMS +ve Sens'!Y18*12%)</f>
        <v>61.6</v>
      </c>
      <c r="Z18" s="3">
        <f>'IMS +ve Sens'!Z18-('IMS +ve Sens'!Z18*12%)</f>
        <v>61.6</v>
      </c>
      <c r="AA18" s="12">
        <f t="shared" si="0"/>
        <v>932.80000000000007</v>
      </c>
    </row>
    <row r="19" spans="1:27" x14ac:dyDescent="0.35">
      <c r="A19" s="1" t="s">
        <v>26</v>
      </c>
      <c r="N19" s="12"/>
      <c r="O19" s="3">
        <f>'IMS +ve Sens'!O19-('IMS +ve Sens'!O19*12%)</f>
        <v>0</v>
      </c>
      <c r="P19" s="3">
        <f>'IMS +ve Sens'!P19-('IMS +ve Sens'!P19*12%)</f>
        <v>0</v>
      </c>
      <c r="Q19" s="3">
        <f>'IMS +ve Sens'!Q19-('IMS +ve Sens'!Q19*12%)</f>
        <v>0</v>
      </c>
      <c r="R19" s="3">
        <f>'IMS +ve Sens'!R19-('IMS +ve Sens'!R19*12%)</f>
        <v>35.200000000000003</v>
      </c>
      <c r="S19" s="3">
        <f>'IMS +ve Sens'!S19-('IMS +ve Sens'!S19*12%)</f>
        <v>35.200000000000003</v>
      </c>
      <c r="T19" s="3">
        <f>'IMS +ve Sens'!T19-('IMS +ve Sens'!T19*12%)</f>
        <v>35.200000000000003</v>
      </c>
      <c r="U19" s="3">
        <f>'IMS +ve Sens'!U19-('IMS +ve Sens'!U19*12%)</f>
        <v>35.200000000000003</v>
      </c>
      <c r="V19" s="3">
        <f>'IMS +ve Sens'!V19-('IMS +ve Sens'!V19*12%)</f>
        <v>35.200000000000003</v>
      </c>
      <c r="W19" s="3">
        <f>'IMS +ve Sens'!W19-('IMS +ve Sens'!W19*12%)</f>
        <v>35.200000000000003</v>
      </c>
      <c r="X19" s="3">
        <f>'IMS +ve Sens'!X19-('IMS +ve Sens'!X19*12%)</f>
        <v>26.4</v>
      </c>
      <c r="Y19" s="3">
        <f>'IMS +ve Sens'!Y19-('IMS +ve Sens'!Y19*12%)</f>
        <v>26.4</v>
      </c>
      <c r="Z19" s="3">
        <f>'IMS +ve Sens'!Z19-('IMS +ve Sens'!Z19*12%)</f>
        <v>26.4</v>
      </c>
      <c r="AA19" s="12">
        <f t="shared" si="0"/>
        <v>290.39999999999998</v>
      </c>
    </row>
    <row r="20" spans="1:27" x14ac:dyDescent="0.35">
      <c r="A20" s="1" t="s">
        <v>27</v>
      </c>
      <c r="N20" s="12"/>
      <c r="O20" s="3">
        <f>'IMS +ve Sens'!O20-('IMS +ve Sens'!O20*12%)</f>
        <v>264</v>
      </c>
      <c r="P20" s="3">
        <f>'IMS +ve Sens'!P20-('IMS +ve Sens'!P20*12%)</f>
        <v>220</v>
      </c>
      <c r="Q20" s="3">
        <f>'IMS +ve Sens'!Q20-('IMS +ve Sens'!Q20*12%)</f>
        <v>264</v>
      </c>
      <c r="R20" s="3">
        <f>'IMS +ve Sens'!R20-('IMS +ve Sens'!R20*12%)</f>
        <v>264</v>
      </c>
      <c r="S20" s="3">
        <f>'IMS +ve Sens'!S20-('IMS +ve Sens'!S20*12%)</f>
        <v>308</v>
      </c>
      <c r="T20" s="3">
        <f>'IMS +ve Sens'!T20-('IMS +ve Sens'!T20*12%)</f>
        <v>352</v>
      </c>
      <c r="U20" s="3">
        <f>'IMS +ve Sens'!U20-('IMS +ve Sens'!U20*12%)</f>
        <v>308</v>
      </c>
      <c r="V20" s="3">
        <f>'IMS +ve Sens'!V20-('IMS +ve Sens'!V20*12%)</f>
        <v>308</v>
      </c>
      <c r="W20" s="3">
        <f>'IMS +ve Sens'!W20-('IMS +ve Sens'!W20*12%)</f>
        <v>264</v>
      </c>
      <c r="X20" s="3">
        <f>'IMS +ve Sens'!X20-('IMS +ve Sens'!X20*12%)</f>
        <v>264</v>
      </c>
      <c r="Y20" s="3">
        <f>'IMS +ve Sens'!Y20-('IMS +ve Sens'!Y20*12%)</f>
        <v>264</v>
      </c>
      <c r="Z20" s="3">
        <f>'IMS +ve Sens'!Z20-('IMS +ve Sens'!Z20*12%)</f>
        <v>264</v>
      </c>
      <c r="AA20" s="12">
        <f t="shared" si="0"/>
        <v>3344</v>
      </c>
    </row>
    <row r="21" spans="1:27" x14ac:dyDescent="0.35">
      <c r="A21" s="1" t="s">
        <v>28</v>
      </c>
      <c r="N21" s="12"/>
      <c r="O21" s="3">
        <f>'IMS +ve Sens'!O21-('IMS +ve Sens'!O21*12%)</f>
        <v>0</v>
      </c>
      <c r="P21" s="3">
        <f>'IMS +ve Sens'!P21-('IMS +ve Sens'!P21*12%)</f>
        <v>0</v>
      </c>
      <c r="Q21" s="3">
        <f>'IMS +ve Sens'!Q21-('IMS +ve Sens'!Q21*12%)</f>
        <v>44</v>
      </c>
      <c r="R21" s="3">
        <f>'IMS +ve Sens'!R21-('IMS +ve Sens'!R21*12%)</f>
        <v>44</v>
      </c>
      <c r="S21" s="3">
        <f>'IMS +ve Sens'!S21-('IMS +ve Sens'!S21*12%)</f>
        <v>44</v>
      </c>
      <c r="T21" s="3">
        <f>'IMS +ve Sens'!T21-('IMS +ve Sens'!T21*12%)</f>
        <v>44</v>
      </c>
      <c r="U21" s="3">
        <f>'IMS +ve Sens'!U21-('IMS +ve Sens'!U21*12%)</f>
        <v>44</v>
      </c>
      <c r="V21" s="3">
        <f>'IMS +ve Sens'!V21-('IMS +ve Sens'!V21*12%)</f>
        <v>44</v>
      </c>
      <c r="W21" s="3">
        <f>'IMS +ve Sens'!W21-('IMS +ve Sens'!W21*12%)</f>
        <v>44</v>
      </c>
      <c r="X21" s="3">
        <f>'IMS +ve Sens'!X21-('IMS +ve Sens'!X21*12%)</f>
        <v>44</v>
      </c>
      <c r="Y21" s="3">
        <f>'IMS +ve Sens'!Y21-('IMS +ve Sens'!Y21*12%)</f>
        <v>44</v>
      </c>
      <c r="Z21" s="3">
        <f>'IMS +ve Sens'!Z21-('IMS +ve Sens'!Z21*12%)</f>
        <v>44</v>
      </c>
      <c r="AA21" s="12">
        <f t="shared" si="0"/>
        <v>440</v>
      </c>
    </row>
    <row r="22" spans="1:27" x14ac:dyDescent="0.35">
      <c r="A22" s="1" t="s">
        <v>29</v>
      </c>
      <c r="N22" s="12"/>
      <c r="O22" s="3">
        <f>'IMS +ve Sens'!O22-('IMS +ve Sens'!O22*12%)</f>
        <v>440</v>
      </c>
      <c r="P22" s="3">
        <f>'IMS +ve Sens'!P22-('IMS +ve Sens'!P22*12%)</f>
        <v>352</v>
      </c>
      <c r="Q22" s="3">
        <f>'IMS +ve Sens'!Q22-('IMS +ve Sens'!Q22*12%)</f>
        <v>352</v>
      </c>
      <c r="R22" s="3">
        <f>'IMS +ve Sens'!R22-('IMS +ve Sens'!R22*12%)</f>
        <v>396</v>
      </c>
      <c r="S22" s="3">
        <f>'IMS +ve Sens'!S22-('IMS +ve Sens'!S22*12%)</f>
        <v>440</v>
      </c>
      <c r="T22" s="3">
        <f>'IMS +ve Sens'!T22-('IMS +ve Sens'!T22*12%)</f>
        <v>440</v>
      </c>
      <c r="U22" s="3">
        <f>'IMS +ve Sens'!U22-('IMS +ve Sens'!U22*12%)</f>
        <v>440</v>
      </c>
      <c r="V22" s="3">
        <f>'IMS +ve Sens'!V22-('IMS +ve Sens'!V22*12%)</f>
        <v>440</v>
      </c>
      <c r="W22" s="3">
        <f>'IMS +ve Sens'!W22-('IMS +ve Sens'!W22*12%)</f>
        <v>352</v>
      </c>
      <c r="X22" s="3">
        <f>'IMS +ve Sens'!X22-('IMS +ve Sens'!X22*12%)</f>
        <v>308</v>
      </c>
      <c r="Y22" s="3">
        <f>'IMS +ve Sens'!Y22-('IMS +ve Sens'!Y22*12%)</f>
        <v>220</v>
      </c>
      <c r="Z22" s="3">
        <f>'IMS +ve Sens'!Z22-('IMS +ve Sens'!Z22*12%)</f>
        <v>220</v>
      </c>
      <c r="AA22" s="12">
        <f t="shared" si="0"/>
        <v>4400</v>
      </c>
    </row>
    <row r="23" spans="1:27" x14ac:dyDescent="0.35">
      <c r="A23" s="1" t="s">
        <v>30</v>
      </c>
      <c r="N23" s="12"/>
      <c r="O23" s="3">
        <f>'IMS +ve Sens'!O23-('IMS +ve Sens'!O23*12%)</f>
        <v>7040</v>
      </c>
      <c r="P23" s="3">
        <f>'IMS +ve Sens'!P23-('IMS +ve Sens'!P23*12%)</f>
        <v>6160</v>
      </c>
      <c r="Q23" s="3">
        <f>'IMS +ve Sens'!Q23-('IMS +ve Sens'!Q23*12%)</f>
        <v>5280</v>
      </c>
      <c r="R23" s="3">
        <f>'IMS +ve Sens'!R23-('IMS +ve Sens'!R23*12%)</f>
        <v>6160</v>
      </c>
      <c r="S23" s="3">
        <f>'IMS +ve Sens'!S23-('IMS +ve Sens'!S23*12%)</f>
        <v>6600</v>
      </c>
      <c r="T23" s="3">
        <f>'IMS +ve Sens'!T23-('IMS +ve Sens'!T23*12%)</f>
        <v>6600</v>
      </c>
      <c r="U23" s="3">
        <f>'IMS +ve Sens'!U23-('IMS +ve Sens'!U23*12%)</f>
        <v>6600</v>
      </c>
      <c r="V23" s="3">
        <f>'IMS +ve Sens'!V23-('IMS +ve Sens'!V23*12%)</f>
        <v>6600</v>
      </c>
      <c r="W23" s="3">
        <f>'IMS +ve Sens'!W23-('IMS +ve Sens'!W23*12%)</f>
        <v>5280</v>
      </c>
      <c r="X23" s="3">
        <f>'IMS +ve Sens'!X23-('IMS +ve Sens'!X23*12%)</f>
        <v>4840</v>
      </c>
      <c r="Y23" s="3">
        <f>'IMS +ve Sens'!Y23-('IMS +ve Sens'!Y23*12%)</f>
        <v>4840</v>
      </c>
      <c r="Z23" s="3">
        <f>'IMS +ve Sens'!Z23-('IMS +ve Sens'!Z23*12%)</f>
        <v>4400</v>
      </c>
      <c r="AA23" s="12">
        <f t="shared" si="0"/>
        <v>70400</v>
      </c>
    </row>
    <row r="24" spans="1:27" s="2" customFormat="1" x14ac:dyDescent="0.3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3"/>
      <c r="O24" s="3">
        <f>'IMS +ve Sens'!O32-('IMS +ve Sens'!O32*12%)</f>
        <v>18532.8</v>
      </c>
      <c r="P24" s="3">
        <f>'IMS +ve Sens'!P32-('IMS +ve Sens'!P32*12%)</f>
        <v>17102.8</v>
      </c>
      <c r="Q24" s="3">
        <f>'IMS +ve Sens'!Q32-('IMS +ve Sens'!Q32*12%)</f>
        <v>16222.8</v>
      </c>
      <c r="R24" s="3">
        <f>'IMS +ve Sens'!R32-('IMS +ve Sens'!R32*12%)</f>
        <v>18066.400000000001</v>
      </c>
      <c r="S24" s="3">
        <f>'IMS +ve Sens'!S32-('IMS +ve Sens'!S32*12%)</f>
        <v>19228</v>
      </c>
      <c r="T24" s="3">
        <f>'IMS +ve Sens'!T32-('IMS +ve Sens'!T32*12%)</f>
        <v>19254.400000000001</v>
      </c>
      <c r="U24" s="3">
        <f>'IMS +ve Sens'!U32-('IMS +ve Sens'!U32*12%)</f>
        <v>19228</v>
      </c>
      <c r="V24" s="3">
        <f>'IMS +ve Sens'!V32-('IMS +ve Sens'!V32*12%)</f>
        <v>19030</v>
      </c>
      <c r="W24" s="3">
        <f>'IMS +ve Sens'!W32-('IMS +ve Sens'!W32*12%)</f>
        <v>16381.2</v>
      </c>
      <c r="X24" s="3">
        <f>'IMS +ve Sens'!X32-('IMS +ve Sens'!X32*12%)</f>
        <v>14348.4</v>
      </c>
      <c r="Y24" s="3">
        <f>'IMS +ve Sens'!Y32-('IMS +ve Sens'!Y32*12%)</f>
        <v>14216.4</v>
      </c>
      <c r="Z24" s="3">
        <f>'IMS +ve Sens'!Z32-('IMS +ve Sens'!Z32*12%)</f>
        <v>13512.4</v>
      </c>
      <c r="AA24" s="12">
        <f t="shared" si="0"/>
        <v>205123.59999999998</v>
      </c>
    </row>
  </sheetData>
  <pageMargins left="0.7" right="0.7" top="0.75" bottom="0.75" header="0.3" footer="0.3"/>
  <headerFooter>
    <oddFooter>&amp;L_x000D_&amp;1#&amp;"Aptos"&amp;10&amp;K000000 Confidential External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08F08-A0CC-467C-9D08-B62774B51FFF}">
  <sheetPr codeName="Sheet5">
    <tabColor rgb="FF92D050"/>
  </sheetPr>
  <dimension ref="A1:GC40"/>
  <sheetViews>
    <sheetView tabSelected="1" zoomScale="78" zoomScaleNormal="78" workbookViewId="0">
      <pane xSplit="6" ySplit="5" topLeftCell="V13" activePane="bottomRight" state="frozen"/>
      <selection pane="topRight" activeCell="G1" sqref="G1"/>
      <selection pane="bottomLeft" activeCell="A6" sqref="A6"/>
      <selection pane="bottomRight" activeCell="CB15" sqref="CB15"/>
    </sheetView>
  </sheetViews>
  <sheetFormatPr defaultColWidth="8.81640625" defaultRowHeight="14.5" outlineLevelCol="1" x14ac:dyDescent="0.35"/>
  <cols>
    <col min="1" max="1" width="8.81640625" style="1" customWidth="1"/>
    <col min="2" max="2" width="34.7265625" style="1" customWidth="1"/>
    <col min="3" max="6" width="6.453125" style="1" hidden="1" customWidth="1" outlineLevel="1"/>
    <col min="7" max="7" width="11.1796875" style="1" customWidth="1" collapsed="1"/>
    <col min="8" max="11" width="11.1796875" style="1" hidden="1" customWidth="1" outlineLevel="1"/>
    <col min="12" max="12" width="11.1796875" style="1" customWidth="1" collapsed="1"/>
    <col min="13" max="16" width="11.1796875" style="1" hidden="1" customWidth="1" outlineLevel="1"/>
    <col min="17" max="17" width="11.1796875" style="1" customWidth="1" collapsed="1"/>
    <col min="18" max="21" width="11.1796875" style="1" hidden="1" customWidth="1" outlineLevel="1"/>
    <col min="22" max="22" width="11.1796875" style="1" customWidth="1" collapsed="1"/>
    <col min="23" max="26" width="11.1796875" style="1" hidden="1" customWidth="1" outlineLevel="1"/>
    <col min="27" max="27" width="11.1796875" style="1" customWidth="1" collapsed="1"/>
    <col min="28" max="31" width="11.1796875" style="1" hidden="1" customWidth="1" outlineLevel="1"/>
    <col min="32" max="32" width="11.1796875" style="1" customWidth="1" collapsed="1"/>
    <col min="33" max="36" width="11.1796875" style="1" hidden="1" customWidth="1" outlineLevel="1"/>
    <col min="37" max="37" width="11.1796875" style="1" customWidth="1" collapsed="1"/>
    <col min="38" max="41" width="11.1796875" style="1" hidden="1" customWidth="1" outlineLevel="1"/>
    <col min="42" max="42" width="11.1796875" style="1" customWidth="1" collapsed="1"/>
    <col min="43" max="46" width="11.1796875" style="1" hidden="1" customWidth="1" outlineLevel="1"/>
    <col min="47" max="47" width="11.1796875" style="1" customWidth="1" collapsed="1"/>
    <col min="48" max="51" width="11.1796875" style="1" hidden="1" customWidth="1" outlineLevel="1"/>
    <col min="52" max="52" width="11.1796875" style="1" customWidth="1" collapsed="1"/>
    <col min="53" max="56" width="11.1796875" style="1" hidden="1" customWidth="1" outlineLevel="1"/>
    <col min="57" max="57" width="11.1796875" style="1" customWidth="1" collapsed="1"/>
    <col min="58" max="61" width="11.1796875" style="1" hidden="1" customWidth="1" outlineLevel="1"/>
    <col min="62" max="62" width="11.1796875" style="1" customWidth="1" collapsed="1"/>
    <col min="63" max="63" width="11.1796875" style="2" customWidth="1"/>
    <col min="64" max="64" width="6.453125" style="1" hidden="1" customWidth="1" outlineLevel="1"/>
    <col min="65" max="67" width="7.453125" style="1" hidden="1" customWidth="1" outlineLevel="1"/>
    <col min="68" max="68" width="8.81640625" style="1" customWidth="1" collapsed="1"/>
    <col min="69" max="69" width="13" style="1" hidden="1" customWidth="1" outlineLevel="1"/>
    <col min="70" max="72" width="6.81640625" style="1" hidden="1" customWidth="1" outlineLevel="1"/>
    <col min="73" max="73" width="8.81640625" style="1" customWidth="1" collapsed="1"/>
    <col min="74" max="74" width="7.26953125" style="1" hidden="1" customWidth="1" outlineLevel="1"/>
    <col min="75" max="77" width="6.81640625" style="1" hidden="1" customWidth="1" outlineLevel="1"/>
    <col min="78" max="78" width="8.81640625" style="1" customWidth="1" collapsed="1"/>
    <col min="79" max="79" width="9" style="1" hidden="1" customWidth="1" outlineLevel="1"/>
    <col min="80" max="80" width="6.81640625" style="1" hidden="1" customWidth="1" outlineLevel="1"/>
    <col min="81" max="81" width="7.54296875" style="1" hidden="1" customWidth="1" outlineLevel="1"/>
    <col min="82" max="82" width="7.7265625" style="1" hidden="1" customWidth="1" outlineLevel="1"/>
    <col min="83" max="83" width="8.81640625" style="1" customWidth="1" collapsed="1"/>
    <col min="84" max="84" width="8.26953125" style="1" hidden="1" customWidth="1" outlineLevel="1"/>
    <col min="85" max="87" width="6.81640625" style="1" hidden="1" customWidth="1" outlineLevel="1"/>
    <col min="88" max="88" width="8.81640625" style="1" customWidth="1" collapsed="1"/>
    <col min="89" max="89" width="8.26953125" style="1" hidden="1" customWidth="1" outlineLevel="1"/>
    <col min="90" max="92" width="7.81640625" style="1" hidden="1" customWidth="1" outlineLevel="1"/>
    <col min="93" max="93" width="8.81640625" style="1" customWidth="1" collapsed="1"/>
    <col min="94" max="94" width="8.26953125" style="1" hidden="1" customWidth="1" outlineLevel="1"/>
    <col min="95" max="97" width="6.81640625" style="1" hidden="1" customWidth="1" outlineLevel="1"/>
    <col min="98" max="98" width="8.81640625" style="1" customWidth="1" collapsed="1"/>
    <col min="99" max="99" width="8.26953125" style="1" hidden="1" customWidth="1" outlineLevel="1"/>
    <col min="100" max="102" width="7.1796875" style="1" hidden="1" customWidth="1" outlineLevel="1"/>
    <col min="103" max="103" width="8.81640625" style="1" customWidth="1" collapsed="1"/>
    <col min="104" max="104" width="12.453125" style="1" hidden="1" customWidth="1" outlineLevel="1"/>
    <col min="105" max="107" width="7.1796875" style="1" hidden="1" customWidth="1" outlineLevel="1"/>
    <col min="108" max="108" width="8.81640625" style="1" customWidth="1" collapsed="1"/>
    <col min="109" max="109" width="8.26953125" style="1" hidden="1" customWidth="1" outlineLevel="1"/>
    <col min="110" max="112" width="7.1796875" style="1" hidden="1" customWidth="1" outlineLevel="1"/>
    <col min="113" max="113" width="8.81640625" style="1" customWidth="1" collapsed="1"/>
    <col min="114" max="114" width="8.26953125" style="1" hidden="1" customWidth="1" outlineLevel="1"/>
    <col min="115" max="117" width="6.26953125" style="1" hidden="1" customWidth="1" outlineLevel="1"/>
    <col min="118" max="118" width="8.81640625" style="1" customWidth="1" collapsed="1"/>
    <col min="119" max="119" width="11.453125" style="1" hidden="1" customWidth="1" outlineLevel="1"/>
    <col min="120" max="122" width="7.26953125" style="1" hidden="1" customWidth="1" outlineLevel="1"/>
    <col min="123" max="123" width="8.81640625" style="1" customWidth="1" collapsed="1"/>
    <col min="124" max="124" width="10.7265625" style="2" bestFit="1" customWidth="1"/>
    <col min="125" max="125" width="8.26953125" style="1" hidden="1" customWidth="1" outlineLevel="1" collapsed="1"/>
    <col min="126" max="128" width="5.26953125" style="1" hidden="1" customWidth="1" outlineLevel="1"/>
    <col min="129" max="129" width="8.81640625" style="1" customWidth="1" collapsed="1"/>
    <col min="130" max="130" width="8.26953125" style="1" hidden="1" customWidth="1" outlineLevel="1"/>
    <col min="131" max="133" width="5.26953125" style="1" hidden="1" customWidth="1" outlineLevel="1"/>
    <col min="134" max="134" width="8.81640625" style="1" customWidth="1" collapsed="1"/>
    <col min="135" max="135" width="8.26953125" style="1" hidden="1" customWidth="1" outlineLevel="1"/>
    <col min="136" max="138" width="5.26953125" style="1" hidden="1" customWidth="1" outlineLevel="1"/>
    <col min="139" max="139" width="8.81640625" style="1" customWidth="1" collapsed="1"/>
    <col min="140" max="140" width="8.26953125" style="1" hidden="1" customWidth="1" outlineLevel="1"/>
    <col min="141" max="143" width="5.26953125" style="1" hidden="1" customWidth="1" outlineLevel="1"/>
    <col min="144" max="144" width="8.81640625" style="1" customWidth="1" collapsed="1"/>
    <col min="145" max="145" width="8.26953125" style="1" hidden="1" customWidth="1" outlineLevel="1"/>
    <col min="146" max="148" width="5.26953125" style="1" hidden="1" customWidth="1" outlineLevel="1"/>
    <col min="149" max="149" width="8.81640625" style="1" customWidth="1" collapsed="1"/>
    <col min="150" max="150" width="8.26953125" style="1" hidden="1" customWidth="1" outlineLevel="1"/>
    <col min="151" max="153" width="5.26953125" style="1" hidden="1" customWidth="1" outlineLevel="1"/>
    <col min="154" max="154" width="8.81640625" style="1" customWidth="1" collapsed="1"/>
    <col min="155" max="155" width="8.26953125" style="1" hidden="1" customWidth="1" outlineLevel="1"/>
    <col min="156" max="158" width="5.26953125" style="1" hidden="1" customWidth="1" outlineLevel="1"/>
    <col min="159" max="159" width="8.81640625" style="1" customWidth="1" collapsed="1"/>
    <col min="160" max="160" width="8.26953125" style="1" hidden="1" customWidth="1" outlineLevel="1"/>
    <col min="161" max="163" width="5.26953125" style="1" hidden="1" customWidth="1" outlineLevel="1"/>
    <col min="164" max="164" width="8.81640625" style="1" customWidth="1" collapsed="1"/>
    <col min="165" max="165" width="8.26953125" style="1" hidden="1" customWidth="1" outlineLevel="1"/>
    <col min="166" max="168" width="5.26953125" style="1" hidden="1" customWidth="1" outlineLevel="1"/>
    <col min="169" max="169" width="8.81640625" style="1" customWidth="1" collapsed="1"/>
    <col min="170" max="170" width="8.26953125" style="1" hidden="1" customWidth="1" outlineLevel="1"/>
    <col min="171" max="173" width="5.26953125" style="1" hidden="1" customWidth="1" outlineLevel="1"/>
    <col min="174" max="174" width="8.81640625" style="1" customWidth="1" collapsed="1"/>
    <col min="175" max="175" width="8.26953125" style="1" hidden="1" customWidth="1" outlineLevel="1"/>
    <col min="176" max="178" width="5.26953125" style="1" hidden="1" customWidth="1" outlineLevel="1"/>
    <col min="179" max="179" width="8.81640625" style="1" customWidth="1" collapsed="1"/>
    <col min="180" max="180" width="8.26953125" style="1" hidden="1" customWidth="1" outlineLevel="1"/>
    <col min="181" max="183" width="5.26953125" style="1" hidden="1" customWidth="1" outlineLevel="1"/>
    <col min="184" max="184" width="8.81640625" style="1" customWidth="1" collapsed="1"/>
    <col min="185" max="185" width="8.81640625" style="2" customWidth="1"/>
    <col min="186" max="16384" width="8.81640625" style="1"/>
  </cols>
  <sheetData>
    <row r="1" spans="1:185" ht="15" thickBot="1" x14ac:dyDescent="0.4">
      <c r="DU1" s="1" t="s">
        <v>41</v>
      </c>
    </row>
    <row r="2" spans="1:185" s="6" customFormat="1" ht="15" thickBot="1" x14ac:dyDescent="0.4">
      <c r="B2" s="6" t="s">
        <v>0</v>
      </c>
      <c r="C2" s="156">
        <v>45658</v>
      </c>
      <c r="D2" s="156"/>
      <c r="E2" s="156"/>
      <c r="F2" s="156"/>
      <c r="G2" s="156"/>
      <c r="H2" s="156">
        <v>45689</v>
      </c>
      <c r="I2" s="156"/>
      <c r="J2" s="156"/>
      <c r="K2" s="156"/>
      <c r="L2" s="156"/>
      <c r="M2" s="156">
        <v>45717</v>
      </c>
      <c r="N2" s="156"/>
      <c r="O2" s="156"/>
      <c r="P2" s="156"/>
      <c r="Q2" s="156"/>
      <c r="R2" s="156">
        <v>45748</v>
      </c>
      <c r="S2" s="156"/>
      <c r="T2" s="156"/>
      <c r="U2" s="156"/>
      <c r="V2" s="156"/>
      <c r="W2" s="156">
        <v>45778</v>
      </c>
      <c r="X2" s="156"/>
      <c r="Y2" s="156"/>
      <c r="Z2" s="156"/>
      <c r="AA2" s="156"/>
      <c r="AB2" s="156">
        <v>45809</v>
      </c>
      <c r="AC2" s="156"/>
      <c r="AD2" s="156"/>
      <c r="AE2" s="156"/>
      <c r="AF2" s="156"/>
      <c r="AG2" s="156">
        <v>45839</v>
      </c>
      <c r="AH2" s="156"/>
      <c r="AI2" s="156"/>
      <c r="AJ2" s="156"/>
      <c r="AK2" s="156"/>
      <c r="AL2" s="156">
        <v>45870</v>
      </c>
      <c r="AM2" s="156"/>
      <c r="AN2" s="156"/>
      <c r="AO2" s="156"/>
      <c r="AP2" s="156"/>
      <c r="AQ2" s="156">
        <v>45901</v>
      </c>
      <c r="AR2" s="156"/>
      <c r="AS2" s="156"/>
      <c r="AT2" s="156"/>
      <c r="AU2" s="156"/>
      <c r="AV2" s="156">
        <v>45931</v>
      </c>
      <c r="AW2" s="156"/>
      <c r="AX2" s="156"/>
      <c r="AY2" s="156"/>
      <c r="AZ2" s="156"/>
      <c r="BA2" s="156">
        <v>45962</v>
      </c>
      <c r="BB2" s="156"/>
      <c r="BC2" s="156"/>
      <c r="BD2" s="156"/>
      <c r="BE2" s="156"/>
      <c r="BF2" s="156">
        <v>45992</v>
      </c>
      <c r="BG2" s="156"/>
      <c r="BH2" s="156"/>
      <c r="BI2" s="156"/>
      <c r="BJ2" s="156"/>
      <c r="BK2" s="11" t="s">
        <v>1</v>
      </c>
      <c r="BL2" s="156">
        <v>46023</v>
      </c>
      <c r="BM2" s="156"/>
      <c r="BN2" s="156"/>
      <c r="BO2" s="156"/>
      <c r="BP2" s="156"/>
      <c r="BQ2" s="156">
        <v>46054</v>
      </c>
      <c r="BR2" s="156"/>
      <c r="BS2" s="156"/>
      <c r="BT2" s="156"/>
      <c r="BU2" s="156"/>
      <c r="BV2" s="156">
        <v>46082</v>
      </c>
      <c r="BW2" s="156"/>
      <c r="BX2" s="156"/>
      <c r="BY2" s="156"/>
      <c r="BZ2" s="156"/>
      <c r="CA2" s="156">
        <v>46113</v>
      </c>
      <c r="CB2" s="156"/>
      <c r="CC2" s="156"/>
      <c r="CD2" s="156"/>
      <c r="CE2" s="156"/>
      <c r="CF2" s="156">
        <v>46143</v>
      </c>
      <c r="CG2" s="156"/>
      <c r="CH2" s="156"/>
      <c r="CI2" s="156"/>
      <c r="CJ2" s="156"/>
      <c r="CK2" s="156">
        <v>46174</v>
      </c>
      <c r="CL2" s="156"/>
      <c r="CM2" s="156"/>
      <c r="CN2" s="156"/>
      <c r="CO2" s="156"/>
      <c r="CP2" s="156">
        <v>46204</v>
      </c>
      <c r="CQ2" s="156"/>
      <c r="CR2" s="156"/>
      <c r="CS2" s="156"/>
      <c r="CT2" s="156"/>
      <c r="CU2" s="156">
        <v>46235</v>
      </c>
      <c r="CV2" s="156"/>
      <c r="CW2" s="156"/>
      <c r="CX2" s="156"/>
      <c r="CY2" s="156"/>
      <c r="CZ2" s="156">
        <v>46266</v>
      </c>
      <c r="DA2" s="156"/>
      <c r="DB2" s="156"/>
      <c r="DC2" s="156"/>
      <c r="DD2" s="156"/>
      <c r="DE2" s="156">
        <v>46296</v>
      </c>
      <c r="DF2" s="156"/>
      <c r="DG2" s="156"/>
      <c r="DH2" s="156"/>
      <c r="DI2" s="156"/>
      <c r="DJ2" s="156">
        <v>46327</v>
      </c>
      <c r="DK2" s="156"/>
      <c r="DL2" s="156"/>
      <c r="DM2" s="156"/>
      <c r="DN2" s="156"/>
      <c r="DO2" s="156">
        <v>46357</v>
      </c>
      <c r="DP2" s="156"/>
      <c r="DQ2" s="156"/>
      <c r="DR2" s="156"/>
      <c r="DS2" s="156"/>
      <c r="DT2" s="11" t="s">
        <v>2</v>
      </c>
      <c r="DU2" s="157">
        <v>46388</v>
      </c>
      <c r="DV2" s="158"/>
      <c r="DW2" s="158"/>
      <c r="DX2" s="158"/>
      <c r="DY2" s="160"/>
      <c r="DZ2" s="157">
        <v>46419</v>
      </c>
      <c r="EA2" s="158"/>
      <c r="EB2" s="158"/>
      <c r="EC2" s="158"/>
      <c r="ED2" s="160"/>
      <c r="EE2" s="157">
        <v>46447</v>
      </c>
      <c r="EF2" s="158"/>
      <c r="EG2" s="158"/>
      <c r="EH2" s="158"/>
      <c r="EI2" s="160"/>
      <c r="EJ2" s="157">
        <v>46478</v>
      </c>
      <c r="EK2" s="158"/>
      <c r="EL2" s="158"/>
      <c r="EM2" s="158"/>
      <c r="EN2" s="160"/>
      <c r="EO2" s="157">
        <v>46508</v>
      </c>
      <c r="EP2" s="158"/>
      <c r="EQ2" s="158"/>
      <c r="ER2" s="158"/>
      <c r="ES2" s="160"/>
      <c r="ET2" s="157">
        <v>46539</v>
      </c>
      <c r="EU2" s="158"/>
      <c r="EV2" s="158"/>
      <c r="EW2" s="158"/>
      <c r="EX2" s="160"/>
      <c r="EY2" s="157">
        <v>46569</v>
      </c>
      <c r="EZ2" s="158"/>
      <c r="FA2" s="158"/>
      <c r="FB2" s="158"/>
      <c r="FC2" s="160"/>
      <c r="FD2" s="157">
        <v>46600</v>
      </c>
      <c r="FE2" s="158"/>
      <c r="FF2" s="158"/>
      <c r="FG2" s="158"/>
      <c r="FH2" s="160"/>
      <c r="FI2" s="157">
        <v>46631</v>
      </c>
      <c r="FJ2" s="158"/>
      <c r="FK2" s="158"/>
      <c r="FL2" s="158"/>
      <c r="FM2" s="160"/>
      <c r="FN2" s="157">
        <v>46661</v>
      </c>
      <c r="FO2" s="158"/>
      <c r="FP2" s="158"/>
      <c r="FQ2" s="158"/>
      <c r="FR2" s="160"/>
      <c r="FS2" s="157">
        <v>46692</v>
      </c>
      <c r="FT2" s="158"/>
      <c r="FU2" s="158"/>
      <c r="FV2" s="158"/>
      <c r="FW2" s="160"/>
      <c r="FX2" s="157">
        <v>46722</v>
      </c>
      <c r="FY2" s="158"/>
      <c r="FZ2" s="158"/>
      <c r="GA2" s="158"/>
      <c r="GB2" s="159"/>
      <c r="GC2" s="11" t="s">
        <v>2</v>
      </c>
    </row>
    <row r="3" spans="1:185" s="6" customFormat="1" x14ac:dyDescent="0.35">
      <c r="C3" s="37" t="s">
        <v>42</v>
      </c>
      <c r="D3" s="37" t="s">
        <v>43</v>
      </c>
      <c r="E3" s="37" t="s">
        <v>44</v>
      </c>
      <c r="F3" s="37" t="s">
        <v>45</v>
      </c>
      <c r="G3" s="79" t="s">
        <v>46</v>
      </c>
      <c r="H3" s="37" t="s">
        <v>42</v>
      </c>
      <c r="I3" s="37" t="s">
        <v>43</v>
      </c>
      <c r="J3" s="37" t="s">
        <v>44</v>
      </c>
      <c r="K3" s="37" t="s">
        <v>45</v>
      </c>
      <c r="L3" s="79" t="s">
        <v>46</v>
      </c>
      <c r="M3" s="37" t="s">
        <v>42</v>
      </c>
      <c r="N3" s="37" t="s">
        <v>43</v>
      </c>
      <c r="O3" s="37" t="s">
        <v>44</v>
      </c>
      <c r="P3" s="37" t="s">
        <v>45</v>
      </c>
      <c r="Q3" s="79" t="s">
        <v>46</v>
      </c>
      <c r="R3" s="37" t="s">
        <v>42</v>
      </c>
      <c r="S3" s="37" t="s">
        <v>43</v>
      </c>
      <c r="T3" s="37" t="s">
        <v>44</v>
      </c>
      <c r="U3" s="37" t="s">
        <v>45</v>
      </c>
      <c r="V3" s="79" t="s">
        <v>46</v>
      </c>
      <c r="W3" s="37" t="s">
        <v>42</v>
      </c>
      <c r="X3" s="37" t="s">
        <v>43</v>
      </c>
      <c r="Y3" s="37" t="s">
        <v>44</v>
      </c>
      <c r="Z3" s="37" t="s">
        <v>45</v>
      </c>
      <c r="AA3" s="79" t="s">
        <v>46</v>
      </c>
      <c r="AB3" s="37" t="s">
        <v>42</v>
      </c>
      <c r="AC3" s="37" t="s">
        <v>43</v>
      </c>
      <c r="AD3" s="37" t="s">
        <v>44</v>
      </c>
      <c r="AE3" s="37" t="s">
        <v>45</v>
      </c>
      <c r="AF3" s="79" t="s">
        <v>46</v>
      </c>
      <c r="AG3" s="37" t="s">
        <v>42</v>
      </c>
      <c r="AH3" s="37" t="s">
        <v>43</v>
      </c>
      <c r="AI3" s="37" t="s">
        <v>44</v>
      </c>
      <c r="AJ3" s="37" t="s">
        <v>45</v>
      </c>
      <c r="AK3" s="79" t="s">
        <v>46</v>
      </c>
      <c r="AL3" s="37" t="s">
        <v>42</v>
      </c>
      <c r="AM3" s="37" t="s">
        <v>43</v>
      </c>
      <c r="AN3" s="37" t="s">
        <v>44</v>
      </c>
      <c r="AO3" s="37" t="s">
        <v>45</v>
      </c>
      <c r="AP3" s="79" t="s">
        <v>46</v>
      </c>
      <c r="AQ3" s="37" t="s">
        <v>42</v>
      </c>
      <c r="AR3" s="37" t="s">
        <v>43</v>
      </c>
      <c r="AS3" s="37" t="s">
        <v>44</v>
      </c>
      <c r="AT3" s="37" t="s">
        <v>45</v>
      </c>
      <c r="AU3" s="79" t="s">
        <v>46</v>
      </c>
      <c r="AV3" s="37" t="s">
        <v>42</v>
      </c>
      <c r="AW3" s="37" t="s">
        <v>43</v>
      </c>
      <c r="AX3" s="37" t="s">
        <v>44</v>
      </c>
      <c r="AY3" s="37" t="s">
        <v>45</v>
      </c>
      <c r="AZ3" s="79" t="s">
        <v>46</v>
      </c>
      <c r="BA3" s="37" t="s">
        <v>42</v>
      </c>
      <c r="BB3" s="37" t="s">
        <v>43</v>
      </c>
      <c r="BC3" s="37" t="s">
        <v>44</v>
      </c>
      <c r="BD3" s="37" t="s">
        <v>45</v>
      </c>
      <c r="BE3" s="79" t="s">
        <v>46</v>
      </c>
      <c r="BF3" s="37" t="s">
        <v>42</v>
      </c>
      <c r="BG3" s="37" t="s">
        <v>43</v>
      </c>
      <c r="BH3" s="37" t="s">
        <v>44</v>
      </c>
      <c r="BI3" s="37" t="s">
        <v>45</v>
      </c>
      <c r="BJ3" s="79" t="s">
        <v>46</v>
      </c>
      <c r="BK3" s="14"/>
      <c r="BL3" s="37" t="s">
        <v>42</v>
      </c>
      <c r="BM3" s="37" t="s">
        <v>43</v>
      </c>
      <c r="BN3" s="37" t="s">
        <v>44</v>
      </c>
      <c r="BO3" s="37" t="s">
        <v>45</v>
      </c>
      <c r="BP3" s="79" t="s">
        <v>46</v>
      </c>
      <c r="BQ3" s="37" t="s">
        <v>42</v>
      </c>
      <c r="BR3" s="37" t="s">
        <v>43</v>
      </c>
      <c r="BS3" s="37" t="s">
        <v>44</v>
      </c>
      <c r="BT3" s="37" t="s">
        <v>45</v>
      </c>
      <c r="BU3" s="79" t="s">
        <v>46</v>
      </c>
      <c r="BV3" s="37" t="s">
        <v>42</v>
      </c>
      <c r="BW3" s="37" t="s">
        <v>43</v>
      </c>
      <c r="BX3" s="37" t="s">
        <v>44</v>
      </c>
      <c r="BY3" s="37" t="s">
        <v>45</v>
      </c>
      <c r="BZ3" s="79" t="s">
        <v>46</v>
      </c>
      <c r="CA3" s="37" t="s">
        <v>42</v>
      </c>
      <c r="CB3" s="37" t="s">
        <v>43</v>
      </c>
      <c r="CC3" s="37" t="s">
        <v>44</v>
      </c>
      <c r="CD3" s="37" t="s">
        <v>45</v>
      </c>
      <c r="CE3" s="79" t="s">
        <v>46</v>
      </c>
      <c r="CF3" s="37" t="s">
        <v>42</v>
      </c>
      <c r="CG3" s="37" t="s">
        <v>43</v>
      </c>
      <c r="CH3" s="37" t="s">
        <v>44</v>
      </c>
      <c r="CI3" s="37" t="s">
        <v>45</v>
      </c>
      <c r="CJ3" s="79" t="s">
        <v>46</v>
      </c>
      <c r="CK3" s="37" t="s">
        <v>42</v>
      </c>
      <c r="CL3" s="37" t="s">
        <v>43</v>
      </c>
      <c r="CM3" s="37" t="s">
        <v>44</v>
      </c>
      <c r="CN3" s="37" t="s">
        <v>45</v>
      </c>
      <c r="CO3" s="79" t="s">
        <v>46</v>
      </c>
      <c r="CP3" s="37" t="s">
        <v>42</v>
      </c>
      <c r="CQ3" s="37" t="s">
        <v>43</v>
      </c>
      <c r="CR3" s="37" t="s">
        <v>44</v>
      </c>
      <c r="CS3" s="37" t="s">
        <v>45</v>
      </c>
      <c r="CT3" s="79" t="s">
        <v>46</v>
      </c>
      <c r="CU3" s="37" t="s">
        <v>42</v>
      </c>
      <c r="CV3" s="37" t="s">
        <v>43</v>
      </c>
      <c r="CW3" s="37" t="s">
        <v>44</v>
      </c>
      <c r="CX3" s="37" t="s">
        <v>45</v>
      </c>
      <c r="CY3" s="79" t="s">
        <v>46</v>
      </c>
      <c r="CZ3" s="37" t="s">
        <v>42</v>
      </c>
      <c r="DA3" s="37" t="s">
        <v>43</v>
      </c>
      <c r="DB3" s="37" t="s">
        <v>44</v>
      </c>
      <c r="DC3" s="37" t="s">
        <v>45</v>
      </c>
      <c r="DD3" s="79" t="s">
        <v>46</v>
      </c>
      <c r="DE3" s="37" t="s">
        <v>42</v>
      </c>
      <c r="DF3" s="37" t="s">
        <v>43</v>
      </c>
      <c r="DG3" s="37" t="s">
        <v>44</v>
      </c>
      <c r="DH3" s="37" t="s">
        <v>45</v>
      </c>
      <c r="DI3" s="79" t="s">
        <v>46</v>
      </c>
      <c r="DJ3" s="37" t="s">
        <v>42</v>
      </c>
      <c r="DK3" s="37" t="s">
        <v>43</v>
      </c>
      <c r="DL3" s="37" t="s">
        <v>44</v>
      </c>
      <c r="DM3" s="37" t="s">
        <v>45</v>
      </c>
      <c r="DN3" s="79" t="s">
        <v>46</v>
      </c>
      <c r="DO3" s="37" t="s">
        <v>42</v>
      </c>
      <c r="DP3" s="37" t="s">
        <v>43</v>
      </c>
      <c r="DQ3" s="37" t="s">
        <v>44</v>
      </c>
      <c r="DR3" s="37" t="s">
        <v>45</v>
      </c>
      <c r="DS3" s="79" t="s">
        <v>46</v>
      </c>
      <c r="DT3" s="14"/>
      <c r="DU3" s="37" t="s">
        <v>42</v>
      </c>
      <c r="DV3" s="37" t="s">
        <v>43</v>
      </c>
      <c r="DW3" s="37" t="s">
        <v>44</v>
      </c>
      <c r="DX3" s="37" t="s">
        <v>45</v>
      </c>
      <c r="DY3" s="79" t="s">
        <v>46</v>
      </c>
      <c r="DZ3" s="37" t="s">
        <v>42</v>
      </c>
      <c r="EA3" s="37" t="s">
        <v>43</v>
      </c>
      <c r="EB3" s="37" t="s">
        <v>44</v>
      </c>
      <c r="EC3" s="37" t="s">
        <v>45</v>
      </c>
      <c r="ED3" s="79" t="s">
        <v>46</v>
      </c>
      <c r="EE3" s="37" t="s">
        <v>42</v>
      </c>
      <c r="EF3" s="37" t="s">
        <v>43</v>
      </c>
      <c r="EG3" s="37" t="s">
        <v>44</v>
      </c>
      <c r="EH3" s="37" t="s">
        <v>45</v>
      </c>
      <c r="EI3" s="79" t="s">
        <v>46</v>
      </c>
      <c r="EJ3" s="37" t="s">
        <v>42</v>
      </c>
      <c r="EK3" s="37" t="s">
        <v>43</v>
      </c>
      <c r="EL3" s="37" t="s">
        <v>44</v>
      </c>
      <c r="EM3" s="37" t="s">
        <v>45</v>
      </c>
      <c r="EN3" s="79" t="s">
        <v>46</v>
      </c>
      <c r="EO3" s="37" t="s">
        <v>42</v>
      </c>
      <c r="EP3" s="37" t="s">
        <v>43</v>
      </c>
      <c r="EQ3" s="37" t="s">
        <v>44</v>
      </c>
      <c r="ER3" s="37" t="s">
        <v>45</v>
      </c>
      <c r="ES3" s="79" t="s">
        <v>46</v>
      </c>
      <c r="ET3" s="37" t="s">
        <v>42</v>
      </c>
      <c r="EU3" s="37" t="s">
        <v>43</v>
      </c>
      <c r="EV3" s="37" t="s">
        <v>44</v>
      </c>
      <c r="EW3" s="37" t="s">
        <v>45</v>
      </c>
      <c r="EX3" s="79" t="s">
        <v>46</v>
      </c>
      <c r="EY3" s="37" t="s">
        <v>42</v>
      </c>
      <c r="EZ3" s="37" t="s">
        <v>43</v>
      </c>
      <c r="FA3" s="37" t="s">
        <v>44</v>
      </c>
      <c r="FB3" s="37" t="s">
        <v>45</v>
      </c>
      <c r="FC3" s="79" t="s">
        <v>46</v>
      </c>
      <c r="FD3" s="37" t="s">
        <v>42</v>
      </c>
      <c r="FE3" s="37" t="s">
        <v>43</v>
      </c>
      <c r="FF3" s="37" t="s">
        <v>44</v>
      </c>
      <c r="FG3" s="37" t="s">
        <v>45</v>
      </c>
      <c r="FH3" s="79" t="s">
        <v>46</v>
      </c>
      <c r="FI3" s="37" t="s">
        <v>42</v>
      </c>
      <c r="FJ3" s="37" t="s">
        <v>43</v>
      </c>
      <c r="FK3" s="37" t="s">
        <v>44</v>
      </c>
      <c r="FL3" s="37" t="s">
        <v>45</v>
      </c>
      <c r="FM3" s="79" t="s">
        <v>46</v>
      </c>
      <c r="FN3" s="37" t="s">
        <v>42</v>
      </c>
      <c r="FO3" s="37" t="s">
        <v>43</v>
      </c>
      <c r="FP3" s="37" t="s">
        <v>44</v>
      </c>
      <c r="FQ3" s="37" t="s">
        <v>45</v>
      </c>
      <c r="FR3" s="79" t="s">
        <v>46</v>
      </c>
      <c r="FS3" s="37" t="s">
        <v>42</v>
      </c>
      <c r="FT3" s="37" t="s">
        <v>43</v>
      </c>
      <c r="FU3" s="37" t="s">
        <v>44</v>
      </c>
      <c r="FV3" s="37" t="s">
        <v>45</v>
      </c>
      <c r="FW3" s="79" t="s">
        <v>46</v>
      </c>
      <c r="FX3" s="37" t="s">
        <v>42</v>
      </c>
      <c r="FY3" s="37" t="s">
        <v>43</v>
      </c>
      <c r="FZ3" s="37" t="s">
        <v>44</v>
      </c>
      <c r="GA3" s="37" t="s">
        <v>45</v>
      </c>
      <c r="GB3" s="79" t="s">
        <v>46</v>
      </c>
      <c r="GC3" s="14"/>
    </row>
    <row r="4" spans="1:185" s="3" customFormat="1" x14ac:dyDescent="0.35">
      <c r="A4" s="3" t="s">
        <v>4</v>
      </c>
      <c r="B4" s="1" t="s">
        <v>5</v>
      </c>
      <c r="F4" s="3">
        <v>250</v>
      </c>
      <c r="G4" s="80">
        <f>SUM(C4:F4)</f>
        <v>250</v>
      </c>
      <c r="L4" s="80">
        <f>SUM(H4:K4)</f>
        <v>0</v>
      </c>
      <c r="P4" s="3">
        <v>770</v>
      </c>
      <c r="Q4" s="80">
        <f>SUM(M4:P4)</f>
        <v>770</v>
      </c>
      <c r="V4" s="80">
        <f>SUM(R4:U4)</f>
        <v>0</v>
      </c>
      <c r="AA4" s="80">
        <f>SUM(W4:Z4)</f>
        <v>0</v>
      </c>
      <c r="AE4" s="3">
        <v>964</v>
      </c>
      <c r="AF4" s="80">
        <f>SUM(AB4:AE4)</f>
        <v>964</v>
      </c>
      <c r="AK4" s="80">
        <f>SUM(AG4:AJ4)</f>
        <v>0</v>
      </c>
      <c r="AO4" s="84">
        <v>261</v>
      </c>
      <c r="AP4" s="80">
        <f>SUM(AL4:AO4)</f>
        <v>261</v>
      </c>
      <c r="AR4" s="51"/>
      <c r="AT4" s="51">
        <v>580</v>
      </c>
      <c r="AU4" s="80">
        <f>SUM(AQ4:AT4)</f>
        <v>580</v>
      </c>
      <c r="AZ4" s="80">
        <f>SUM(AV4:AY4)</f>
        <v>0</v>
      </c>
      <c r="BD4" s="3">
        <v>243</v>
      </c>
      <c r="BE4" s="80">
        <f>SUM(BA4:BD4)</f>
        <v>243</v>
      </c>
      <c r="BI4" s="3">
        <v>497</v>
      </c>
      <c r="BJ4" s="80">
        <f>SUM(BF4:BI4)</f>
        <v>497</v>
      </c>
      <c r="BK4" s="12">
        <f>G4+L4+Q4+V4+AA4+AF4+AK4+AP4+AU4+AZ4+BE4+BJ4</f>
        <v>3565</v>
      </c>
      <c r="BP4" s="80">
        <f t="shared" ref="BP4:BP32" si="0">SUM(BL4:BO4)</f>
        <v>0</v>
      </c>
      <c r="BT4" s="3">
        <v>200</v>
      </c>
      <c r="BU4" s="80">
        <f>SUM(BQ4:BT4)</f>
        <v>200</v>
      </c>
      <c r="BY4" s="3">
        <v>380</v>
      </c>
      <c r="BZ4" s="80">
        <f t="shared" ref="BZ4:BZ31" si="1">SUM(BV4:BY4)</f>
        <v>380</v>
      </c>
      <c r="CE4" s="80">
        <f t="shared" ref="CE4:CE31" si="2">SUM(CA4:CD4)</f>
        <v>0</v>
      </c>
      <c r="CI4" s="3">
        <v>300</v>
      </c>
      <c r="CJ4" s="80">
        <f t="shared" ref="CJ4:CJ31" si="3">SUM(CF4:CI4)</f>
        <v>300</v>
      </c>
      <c r="CN4" s="3">
        <v>300</v>
      </c>
      <c r="CO4" s="80">
        <f t="shared" ref="CO4:CO31" si="4">SUM(CK4:CN4)</f>
        <v>300</v>
      </c>
      <c r="CS4" s="3">
        <v>200</v>
      </c>
      <c r="CT4" s="80">
        <f>SUM(CP4:CS4)</f>
        <v>200</v>
      </c>
      <c r="CX4" s="3">
        <v>300</v>
      </c>
      <c r="CY4" s="80">
        <f>SUM(CU4:CX4)</f>
        <v>300</v>
      </c>
      <c r="DC4" s="3">
        <v>300</v>
      </c>
      <c r="DD4" s="80">
        <f t="shared" ref="DD4:DD31" si="5">SUM(CZ4:DC4)</f>
        <v>300</v>
      </c>
      <c r="DH4" s="3">
        <v>250</v>
      </c>
      <c r="DI4" s="80">
        <f t="shared" ref="DI4:DI31" si="6">SUM(DE4:DH4)</f>
        <v>250</v>
      </c>
      <c r="DM4" s="3">
        <v>250</v>
      </c>
      <c r="DN4" s="80">
        <f t="shared" ref="DN4:DN31" si="7">SUM(DJ4:DM4)</f>
        <v>250</v>
      </c>
      <c r="DS4" s="80">
        <f t="shared" ref="DS4:DS31" si="8">SUM(DO4:DR4)</f>
        <v>0</v>
      </c>
      <c r="DT4" s="12">
        <f t="shared" ref="DT4:DT24" si="9">BP4+BU4+BZ4+CE4+CJ4+CO4+CT4+CY4+DD4+DI4+DN4+DS4</f>
        <v>2480</v>
      </c>
      <c r="DU4" s="3">
        <v>250</v>
      </c>
      <c r="DY4" s="80">
        <f>SUM(DU4:DX4)</f>
        <v>250</v>
      </c>
      <c r="DZ4" s="3">
        <v>230</v>
      </c>
      <c r="ED4" s="80">
        <f>SUM(DZ4:EC4)</f>
        <v>230</v>
      </c>
      <c r="EE4" s="3">
        <v>244.8</v>
      </c>
      <c r="EI4" s="80">
        <f>SUM(EE4:EH4)</f>
        <v>244.8</v>
      </c>
      <c r="EJ4" s="3">
        <v>285.60000000000002</v>
      </c>
      <c r="EN4" s="80">
        <f>SUM(EJ4:EM4)</f>
        <v>285.60000000000002</v>
      </c>
      <c r="EO4" s="3">
        <v>306</v>
      </c>
      <c r="ES4" s="80">
        <f>SUM(EO4:ER4)</f>
        <v>306</v>
      </c>
      <c r="ET4" s="3">
        <v>306</v>
      </c>
      <c r="EX4" s="80">
        <f>SUM(ET4:EW4)</f>
        <v>306</v>
      </c>
      <c r="EY4" s="3">
        <v>306</v>
      </c>
      <c r="FC4" s="80">
        <f>SUM(EY4:FB4)</f>
        <v>306</v>
      </c>
      <c r="FD4" s="3">
        <v>306</v>
      </c>
      <c r="FH4" s="80">
        <f>SUM(FD4:FG4)</f>
        <v>306</v>
      </c>
      <c r="FI4" s="3">
        <v>255</v>
      </c>
      <c r="FM4" s="80">
        <f>SUM(FI4:FL4)</f>
        <v>255</v>
      </c>
      <c r="FN4" s="3">
        <v>255</v>
      </c>
      <c r="FR4" s="80">
        <f>SUM(FN4:FQ4)</f>
        <v>255</v>
      </c>
      <c r="FS4" s="3">
        <v>255</v>
      </c>
      <c r="FW4" s="80">
        <f>SUM(FS4:FV4)</f>
        <v>255</v>
      </c>
      <c r="FX4" s="3">
        <v>255</v>
      </c>
      <c r="GB4" s="80">
        <f>SUM(FX4:GA4)</f>
        <v>255</v>
      </c>
      <c r="GC4" s="12">
        <f>DU4+ED4+EI4+EN4+ES4+EX4+FC4+FH4+FM4+FR4+FW4+GB4</f>
        <v>3254.4</v>
      </c>
    </row>
    <row r="5" spans="1:185" s="3" customFormat="1" x14ac:dyDescent="0.35">
      <c r="A5" s="3" t="s">
        <v>4</v>
      </c>
      <c r="B5" s="1" t="s">
        <v>6</v>
      </c>
      <c r="F5" s="3">
        <v>699</v>
      </c>
      <c r="G5" s="80">
        <f t="shared" ref="G5:G24" si="10">SUM(C5:F5)</f>
        <v>699</v>
      </c>
      <c r="K5" s="3">
        <v>1000</v>
      </c>
      <c r="L5" s="80">
        <f t="shared" ref="L5:L24" si="11">SUM(H5:K5)</f>
        <v>1000</v>
      </c>
      <c r="P5" s="3">
        <v>1000</v>
      </c>
      <c r="Q5" s="80">
        <f t="shared" ref="Q5:Q24" si="12">SUM(M5:P5)</f>
        <v>1000</v>
      </c>
      <c r="V5" s="80">
        <f t="shared" ref="V5:V24" si="13">SUM(R5:U5)</f>
        <v>0</v>
      </c>
      <c r="AA5" s="80">
        <f t="shared" ref="AA5:AA24" si="14">SUM(W5:Z5)</f>
        <v>0</v>
      </c>
      <c r="AE5" s="3">
        <v>518</v>
      </c>
      <c r="AF5" s="80">
        <f t="shared" ref="AF5:AF24" si="15">SUM(AB5:AE5)</f>
        <v>518</v>
      </c>
      <c r="AJ5" s="3">
        <v>953</v>
      </c>
      <c r="AK5" s="80">
        <f t="shared" ref="AK5:AK24" si="16">SUM(AG5:AJ5)</f>
        <v>953</v>
      </c>
      <c r="AO5" s="84">
        <v>600</v>
      </c>
      <c r="AP5" s="80">
        <f t="shared" ref="AP5:AP24" si="17">SUM(AL5:AO5)</f>
        <v>600</v>
      </c>
      <c r="AR5" s="3">
        <v>1000</v>
      </c>
      <c r="AT5" s="3">
        <v>680</v>
      </c>
      <c r="AU5" s="80">
        <f t="shared" ref="AU5:AU24" si="18">SUM(AQ5:AT5)</f>
        <v>1680</v>
      </c>
      <c r="AZ5" s="80">
        <f t="shared" ref="AZ5:AZ32" si="19">SUM(AV5:AY5)</f>
        <v>0</v>
      </c>
      <c r="BD5" s="3">
        <v>680</v>
      </c>
      <c r="BE5" s="80">
        <f t="shared" ref="BE5:BE32" si="20">SUM(BA5:BD5)</f>
        <v>680</v>
      </c>
      <c r="BI5" s="3">
        <v>2102</v>
      </c>
      <c r="BJ5" s="80">
        <f t="shared" ref="BJ5:BJ32" si="21">SUM(BF5:BI5)</f>
        <v>2102</v>
      </c>
      <c r="BK5" s="12">
        <f t="shared" ref="BK5:BK24" si="22">G5+L5+Q5+V5+AA5+AF5+AK5+AP5+AU5+AZ5+BE5+BJ5</f>
        <v>9232</v>
      </c>
      <c r="BP5" s="80">
        <f t="shared" si="0"/>
        <v>0</v>
      </c>
      <c r="BU5" s="80">
        <f t="shared" ref="BU5:BU32" si="23">SUM(BQ5:BT5)</f>
        <v>0</v>
      </c>
      <c r="BY5" s="3">
        <v>800</v>
      </c>
      <c r="BZ5" s="80">
        <f t="shared" si="1"/>
        <v>800</v>
      </c>
      <c r="CD5" s="3">
        <v>1000</v>
      </c>
      <c r="CE5" s="80">
        <f t="shared" si="2"/>
        <v>1000</v>
      </c>
      <c r="CH5" s="3">
        <v>600</v>
      </c>
      <c r="CJ5" s="80">
        <f t="shared" si="3"/>
        <v>600</v>
      </c>
      <c r="CM5" s="3">
        <v>400</v>
      </c>
      <c r="CO5" s="80">
        <f t="shared" si="4"/>
        <v>400</v>
      </c>
      <c r="CT5" s="80">
        <f t="shared" ref="CT5:CT32" si="24">SUM(CP5:CS5)</f>
        <v>0</v>
      </c>
      <c r="CY5" s="80">
        <f t="shared" ref="CY5:CY32" si="25">SUM(CU5:CX5)</f>
        <v>0</v>
      </c>
      <c r="DD5" s="80">
        <f t="shared" si="5"/>
        <v>0</v>
      </c>
      <c r="DI5" s="80">
        <f t="shared" si="6"/>
        <v>0</v>
      </c>
      <c r="DN5" s="80">
        <f t="shared" si="7"/>
        <v>0</v>
      </c>
      <c r="DS5" s="80">
        <f t="shared" si="8"/>
        <v>0</v>
      </c>
      <c r="DT5" s="12">
        <f t="shared" si="9"/>
        <v>2800</v>
      </c>
      <c r="DU5" s="3">
        <v>800</v>
      </c>
      <c r="DY5" s="80">
        <f t="shared" ref="DY5:DY32" si="26">SUM(DU5:DX5)</f>
        <v>800</v>
      </c>
      <c r="DZ5" s="3">
        <v>800</v>
      </c>
      <c r="ED5" s="80">
        <f t="shared" ref="ED5:ED32" si="27">SUM(DZ5:EC5)</f>
        <v>800</v>
      </c>
      <c r="EE5" s="3">
        <v>816</v>
      </c>
      <c r="EI5" s="80">
        <f t="shared" ref="EI5:EI32" si="28">SUM(EE5:EH5)</f>
        <v>816</v>
      </c>
      <c r="EJ5" s="3">
        <v>918</v>
      </c>
      <c r="EN5" s="80">
        <f t="shared" ref="EN5:EN31" si="29">SUM(EJ5:EM5)</f>
        <v>918</v>
      </c>
      <c r="EO5" s="3">
        <v>918</v>
      </c>
      <c r="ES5" s="80">
        <f t="shared" ref="ES5:ES32" si="30">SUM(EO5:ER5)</f>
        <v>918</v>
      </c>
      <c r="ET5" s="3">
        <v>918</v>
      </c>
      <c r="EX5" s="80">
        <f t="shared" ref="EX5:EX32" si="31">SUM(ET5:EW5)</f>
        <v>918</v>
      </c>
      <c r="EY5" s="3">
        <v>918</v>
      </c>
      <c r="FC5" s="80">
        <f t="shared" ref="FC5:FC32" si="32">SUM(EY5:FB5)</f>
        <v>918</v>
      </c>
      <c r="FD5" s="3">
        <v>918</v>
      </c>
      <c r="FH5" s="80">
        <f t="shared" ref="FH5:FH32" si="33">SUM(FD5:FG5)</f>
        <v>918</v>
      </c>
      <c r="FI5" s="3">
        <v>714</v>
      </c>
      <c r="FM5" s="80">
        <f t="shared" ref="FM5:FM32" si="34">SUM(FI5:FL5)</f>
        <v>714</v>
      </c>
      <c r="FN5" s="3">
        <v>714</v>
      </c>
      <c r="FR5" s="80">
        <f t="shared" ref="FR5:FR32" si="35">SUM(FN5:FQ5)</f>
        <v>714</v>
      </c>
      <c r="FS5" s="3">
        <v>714</v>
      </c>
      <c r="FW5" s="80">
        <f t="shared" ref="FW5:FW32" si="36">SUM(FS5:FV5)</f>
        <v>714</v>
      </c>
      <c r="FX5" s="3">
        <v>714</v>
      </c>
      <c r="GB5" s="80">
        <f t="shared" ref="GB5:GB32" si="37">SUM(FX5:GA5)</f>
        <v>714</v>
      </c>
      <c r="GC5" s="12">
        <f t="shared" ref="GC5:GC12" si="38">DU5+ED5+EI5+EN5+ES5+EX5+FC5+FH5+FM5+FR5+FW5+GB5</f>
        <v>9862</v>
      </c>
    </row>
    <row r="6" spans="1:185" s="3" customFormat="1" x14ac:dyDescent="0.35">
      <c r="A6" s="3" t="s">
        <v>4</v>
      </c>
      <c r="B6" s="1" t="s">
        <v>7</v>
      </c>
      <c r="F6" s="3">
        <v>74</v>
      </c>
      <c r="G6" s="80">
        <f t="shared" si="10"/>
        <v>74</v>
      </c>
      <c r="K6" s="3">
        <v>900</v>
      </c>
      <c r="L6" s="80">
        <f t="shared" si="11"/>
        <v>900</v>
      </c>
      <c r="P6" s="3">
        <v>670</v>
      </c>
      <c r="Q6" s="80">
        <f t="shared" si="12"/>
        <v>670</v>
      </c>
      <c r="V6" s="80">
        <f t="shared" si="13"/>
        <v>0</v>
      </c>
      <c r="AA6" s="80">
        <f t="shared" si="14"/>
        <v>0</v>
      </c>
      <c r="AF6" s="80">
        <f t="shared" si="15"/>
        <v>0</v>
      </c>
      <c r="AJ6" s="3">
        <v>601</v>
      </c>
      <c r="AK6" s="80">
        <f t="shared" si="16"/>
        <v>601</v>
      </c>
      <c r="AO6" s="53">
        <v>348</v>
      </c>
      <c r="AP6" s="80">
        <f t="shared" si="17"/>
        <v>348</v>
      </c>
      <c r="AR6" s="51"/>
      <c r="AT6" s="51">
        <v>600</v>
      </c>
      <c r="AU6" s="80">
        <f t="shared" si="18"/>
        <v>600</v>
      </c>
      <c r="AW6" s="3">
        <v>410</v>
      </c>
      <c r="AZ6" s="80">
        <f t="shared" si="19"/>
        <v>410</v>
      </c>
      <c r="BD6" s="128">
        <v>410</v>
      </c>
      <c r="BE6" s="80">
        <f t="shared" si="20"/>
        <v>410</v>
      </c>
      <c r="BI6" s="3">
        <v>385</v>
      </c>
      <c r="BJ6" s="80">
        <f t="shared" si="21"/>
        <v>385</v>
      </c>
      <c r="BK6" s="12">
        <f t="shared" si="22"/>
        <v>4398</v>
      </c>
      <c r="BO6" s="3">
        <v>200</v>
      </c>
      <c r="BP6" s="80">
        <f t="shared" si="0"/>
        <v>200</v>
      </c>
      <c r="BT6" s="3">
        <v>400</v>
      </c>
      <c r="BU6" s="80">
        <f t="shared" si="23"/>
        <v>400</v>
      </c>
      <c r="BY6" s="3">
        <v>400</v>
      </c>
      <c r="BZ6" s="80">
        <f t="shared" si="1"/>
        <v>400</v>
      </c>
      <c r="CD6" s="3">
        <v>600</v>
      </c>
      <c r="CE6" s="80">
        <f t="shared" si="2"/>
        <v>600</v>
      </c>
      <c r="CI6" s="3">
        <v>600</v>
      </c>
      <c r="CJ6" s="80">
        <f t="shared" si="3"/>
        <v>600</v>
      </c>
      <c r="CN6" s="3">
        <v>766</v>
      </c>
      <c r="CO6" s="80">
        <f t="shared" si="4"/>
        <v>766</v>
      </c>
      <c r="CT6" s="80">
        <f t="shared" si="24"/>
        <v>0</v>
      </c>
      <c r="CW6" s="3">
        <v>400</v>
      </c>
      <c r="CY6" s="80">
        <f t="shared" si="25"/>
        <v>400</v>
      </c>
      <c r="DB6" s="3">
        <v>300</v>
      </c>
      <c r="DD6" s="80">
        <f t="shared" si="5"/>
        <v>300</v>
      </c>
      <c r="DH6" s="3">
        <v>300</v>
      </c>
      <c r="DI6" s="80">
        <f t="shared" si="6"/>
        <v>300</v>
      </c>
      <c r="DM6" s="3">
        <v>500</v>
      </c>
      <c r="DN6" s="80">
        <f t="shared" si="7"/>
        <v>500</v>
      </c>
      <c r="DS6" s="80">
        <f t="shared" si="8"/>
        <v>0</v>
      </c>
      <c r="DT6" s="12">
        <f t="shared" si="9"/>
        <v>4466</v>
      </c>
      <c r="DU6" s="3">
        <v>400</v>
      </c>
      <c r="DY6" s="80">
        <f t="shared" si="26"/>
        <v>400</v>
      </c>
      <c r="DZ6" s="3">
        <v>400</v>
      </c>
      <c r="ED6" s="80">
        <f t="shared" si="27"/>
        <v>400</v>
      </c>
      <c r="EE6" s="3">
        <v>408</v>
      </c>
      <c r="EI6" s="80">
        <f t="shared" si="28"/>
        <v>408</v>
      </c>
      <c r="EJ6" s="3">
        <v>510</v>
      </c>
      <c r="EN6" s="80">
        <f t="shared" si="29"/>
        <v>510</v>
      </c>
      <c r="EO6" s="3">
        <v>612</v>
      </c>
      <c r="ES6" s="80">
        <f t="shared" si="30"/>
        <v>612</v>
      </c>
      <c r="ET6" s="3">
        <v>612</v>
      </c>
      <c r="EX6" s="80">
        <f t="shared" si="31"/>
        <v>612</v>
      </c>
      <c r="EY6" s="3">
        <v>612</v>
      </c>
      <c r="FC6" s="80">
        <f t="shared" si="32"/>
        <v>612</v>
      </c>
      <c r="FD6" s="3">
        <v>510</v>
      </c>
      <c r="FH6" s="80">
        <f t="shared" si="33"/>
        <v>510</v>
      </c>
      <c r="FI6" s="3">
        <v>306</v>
      </c>
      <c r="FM6" s="80">
        <f t="shared" si="34"/>
        <v>306</v>
      </c>
      <c r="FN6" s="3">
        <v>306</v>
      </c>
      <c r="FR6" s="80">
        <f t="shared" si="35"/>
        <v>306</v>
      </c>
      <c r="FS6" s="3">
        <v>306</v>
      </c>
      <c r="FW6" s="80">
        <f t="shared" si="36"/>
        <v>306</v>
      </c>
      <c r="FX6" s="3">
        <v>306</v>
      </c>
      <c r="GB6" s="80">
        <f t="shared" si="37"/>
        <v>306</v>
      </c>
      <c r="GC6" s="12">
        <f t="shared" si="38"/>
        <v>5288</v>
      </c>
    </row>
    <row r="7" spans="1:185" x14ac:dyDescent="0.35">
      <c r="A7" s="3" t="s">
        <v>4</v>
      </c>
      <c r="B7" s="1" t="s">
        <v>8</v>
      </c>
      <c r="F7" s="1">
        <v>749</v>
      </c>
      <c r="G7" s="80">
        <f t="shared" si="10"/>
        <v>749</v>
      </c>
      <c r="H7" s="3"/>
      <c r="I7" s="3"/>
      <c r="J7" s="3"/>
      <c r="K7" s="3">
        <v>680</v>
      </c>
      <c r="L7" s="80">
        <f t="shared" si="11"/>
        <v>680</v>
      </c>
      <c r="M7" s="3"/>
      <c r="N7" s="3"/>
      <c r="O7" s="3"/>
      <c r="P7" s="3">
        <v>1000</v>
      </c>
      <c r="Q7" s="80">
        <f t="shared" si="12"/>
        <v>1000</v>
      </c>
      <c r="R7" s="3"/>
      <c r="S7" s="3"/>
      <c r="T7" s="3"/>
      <c r="U7" s="3"/>
      <c r="V7" s="80">
        <f t="shared" si="13"/>
        <v>0</v>
      </c>
      <c r="W7" s="3"/>
      <c r="X7" s="3"/>
      <c r="Y7" s="3"/>
      <c r="Z7" s="3"/>
      <c r="AA7" s="80">
        <f t="shared" si="14"/>
        <v>0</v>
      </c>
      <c r="AB7" s="3"/>
      <c r="AC7" s="3"/>
      <c r="AD7" s="3"/>
      <c r="AE7" s="3"/>
      <c r="AF7" s="80">
        <f t="shared" si="15"/>
        <v>0</v>
      </c>
      <c r="AG7" s="3"/>
      <c r="AH7" s="3"/>
      <c r="AI7" s="3"/>
      <c r="AJ7" s="3">
        <v>1499</v>
      </c>
      <c r="AK7" s="80">
        <f t="shared" si="16"/>
        <v>1499</v>
      </c>
      <c r="AL7" s="3"/>
      <c r="AM7" s="3"/>
      <c r="AN7" s="3"/>
      <c r="AO7" s="53"/>
      <c r="AP7" s="80">
        <f t="shared" si="17"/>
        <v>0</v>
      </c>
      <c r="AQ7" s="3"/>
      <c r="AR7" s="3"/>
      <c r="AS7" s="3"/>
      <c r="AT7" s="3">
        <v>839</v>
      </c>
      <c r="AU7" s="80">
        <f t="shared" si="18"/>
        <v>839</v>
      </c>
      <c r="AV7" s="3"/>
      <c r="AW7" s="3">
        <v>510</v>
      </c>
      <c r="AX7" s="3"/>
      <c r="AY7" s="3"/>
      <c r="AZ7" s="80">
        <f t="shared" si="19"/>
        <v>510</v>
      </c>
      <c r="BA7" s="3"/>
      <c r="BB7" s="3"/>
      <c r="BC7" s="3"/>
      <c r="BD7" s="128">
        <v>510</v>
      </c>
      <c r="BE7" s="80">
        <f t="shared" si="20"/>
        <v>510</v>
      </c>
      <c r="BF7" s="3"/>
      <c r="BG7" s="3"/>
      <c r="BH7" s="3"/>
      <c r="BI7" s="3">
        <v>739</v>
      </c>
      <c r="BJ7" s="80">
        <f t="shared" si="21"/>
        <v>739</v>
      </c>
      <c r="BK7" s="12">
        <f t="shared" si="22"/>
        <v>6526</v>
      </c>
      <c r="BL7" s="3"/>
      <c r="BM7" s="3"/>
      <c r="BN7" s="3"/>
      <c r="BO7" s="3">
        <v>114</v>
      </c>
      <c r="BP7" s="80">
        <f t="shared" si="0"/>
        <v>114</v>
      </c>
      <c r="BQ7" s="3"/>
      <c r="BR7" s="3"/>
      <c r="BS7" s="3"/>
      <c r="BT7" s="3">
        <v>550</v>
      </c>
      <c r="BU7" s="80">
        <f t="shared" si="23"/>
        <v>550</v>
      </c>
      <c r="BV7" s="3"/>
      <c r="BW7" s="3"/>
      <c r="BX7" s="3"/>
      <c r="BY7" s="3">
        <v>400</v>
      </c>
      <c r="BZ7" s="80">
        <f t="shared" si="1"/>
        <v>400</v>
      </c>
      <c r="CB7" s="3"/>
      <c r="CC7" s="3"/>
      <c r="CD7" s="3">
        <v>650</v>
      </c>
      <c r="CE7" s="80">
        <f t="shared" si="2"/>
        <v>650</v>
      </c>
      <c r="CG7" s="3"/>
      <c r="CH7" s="3"/>
      <c r="CI7" s="3">
        <v>550</v>
      </c>
      <c r="CJ7" s="80">
        <f t="shared" si="3"/>
        <v>550</v>
      </c>
      <c r="CL7" s="3"/>
      <c r="CM7" s="3"/>
      <c r="CN7" s="3">
        <v>300</v>
      </c>
      <c r="CO7" s="80">
        <f t="shared" si="4"/>
        <v>300</v>
      </c>
      <c r="CQ7" s="3"/>
      <c r="CR7" s="3"/>
      <c r="CS7" s="3"/>
      <c r="CT7" s="80">
        <f t="shared" si="24"/>
        <v>0</v>
      </c>
      <c r="CV7" s="3"/>
      <c r="CW7" s="3"/>
      <c r="CX7" s="3"/>
      <c r="CY7" s="80">
        <f t="shared" si="25"/>
        <v>0</v>
      </c>
      <c r="DA7" s="3"/>
      <c r="DB7" s="3"/>
      <c r="DC7" s="3"/>
      <c r="DD7" s="80">
        <f t="shared" si="5"/>
        <v>0</v>
      </c>
      <c r="DF7" s="3"/>
      <c r="DG7" s="3"/>
      <c r="DH7" s="3">
        <v>350</v>
      </c>
      <c r="DI7" s="80">
        <f t="shared" si="6"/>
        <v>350</v>
      </c>
      <c r="DK7" s="3"/>
      <c r="DL7" s="3"/>
      <c r="DM7" s="3">
        <v>300</v>
      </c>
      <c r="DN7" s="80">
        <f t="shared" si="7"/>
        <v>300</v>
      </c>
      <c r="DP7" s="3">
        <v>200</v>
      </c>
      <c r="DQ7" s="3"/>
      <c r="DR7" s="3"/>
      <c r="DS7" s="80">
        <f t="shared" si="8"/>
        <v>200</v>
      </c>
      <c r="DT7" s="12">
        <f t="shared" si="9"/>
        <v>3414</v>
      </c>
      <c r="DU7" s="3">
        <v>550</v>
      </c>
      <c r="DV7" s="3"/>
      <c r="DW7" s="3"/>
      <c r="DX7" s="3"/>
      <c r="DY7" s="80">
        <f t="shared" si="26"/>
        <v>550</v>
      </c>
      <c r="DZ7" s="3">
        <v>550</v>
      </c>
      <c r="EA7" s="3"/>
      <c r="EB7" s="3"/>
      <c r="EC7" s="3"/>
      <c r="ED7" s="80">
        <f t="shared" si="27"/>
        <v>550</v>
      </c>
      <c r="EE7" s="3">
        <v>561</v>
      </c>
      <c r="EF7" s="3"/>
      <c r="EG7" s="3"/>
      <c r="EH7" s="3"/>
      <c r="EI7" s="80">
        <f t="shared" si="28"/>
        <v>561</v>
      </c>
      <c r="EJ7" s="3">
        <v>561</v>
      </c>
      <c r="EK7" s="3"/>
      <c r="EL7" s="3"/>
      <c r="EM7" s="3"/>
      <c r="EN7" s="80">
        <f t="shared" si="29"/>
        <v>561</v>
      </c>
      <c r="EO7" s="3">
        <v>561</v>
      </c>
      <c r="EP7" s="3"/>
      <c r="EQ7" s="3"/>
      <c r="ER7" s="3"/>
      <c r="ES7" s="80">
        <f t="shared" si="30"/>
        <v>561</v>
      </c>
      <c r="ET7" s="3">
        <v>561</v>
      </c>
      <c r="EU7" s="3"/>
      <c r="EV7" s="3"/>
      <c r="EW7" s="3"/>
      <c r="EX7" s="80">
        <f t="shared" si="31"/>
        <v>561</v>
      </c>
      <c r="EY7" s="3">
        <v>561</v>
      </c>
      <c r="EZ7" s="3"/>
      <c r="FA7" s="3"/>
      <c r="FB7" s="3"/>
      <c r="FC7" s="80">
        <f t="shared" si="32"/>
        <v>561</v>
      </c>
      <c r="FD7" s="3">
        <v>561</v>
      </c>
      <c r="FE7" s="3"/>
      <c r="FF7" s="3"/>
      <c r="FG7" s="3"/>
      <c r="FH7" s="80">
        <f t="shared" si="33"/>
        <v>561</v>
      </c>
      <c r="FI7" s="3">
        <v>510</v>
      </c>
      <c r="FJ7" s="3"/>
      <c r="FK7" s="3"/>
      <c r="FL7" s="3"/>
      <c r="FM7" s="80">
        <f t="shared" si="34"/>
        <v>510</v>
      </c>
      <c r="FN7" s="3">
        <v>510</v>
      </c>
      <c r="FO7" s="3"/>
      <c r="FP7" s="3"/>
      <c r="FQ7" s="3"/>
      <c r="FR7" s="80">
        <f t="shared" si="35"/>
        <v>510</v>
      </c>
      <c r="FS7" s="3">
        <v>510</v>
      </c>
      <c r="FT7" s="3"/>
      <c r="FU7" s="3"/>
      <c r="FV7" s="3"/>
      <c r="FW7" s="80">
        <f t="shared" si="36"/>
        <v>510</v>
      </c>
      <c r="FX7" s="3">
        <v>510</v>
      </c>
      <c r="FY7" s="3"/>
      <c r="FZ7" s="3"/>
      <c r="GA7" s="3"/>
      <c r="GB7" s="80">
        <f t="shared" si="37"/>
        <v>510</v>
      </c>
      <c r="GC7" s="12">
        <f t="shared" si="38"/>
        <v>6506</v>
      </c>
    </row>
    <row r="8" spans="1:185" x14ac:dyDescent="0.35">
      <c r="A8" s="3" t="s">
        <v>4</v>
      </c>
      <c r="B8" s="1" t="s">
        <v>9</v>
      </c>
      <c r="F8" s="1">
        <v>550</v>
      </c>
      <c r="G8" s="80">
        <f t="shared" si="10"/>
        <v>550</v>
      </c>
      <c r="H8" s="3"/>
      <c r="I8" s="3"/>
      <c r="J8" s="3"/>
      <c r="K8" s="3">
        <v>6264</v>
      </c>
      <c r="L8" s="80">
        <f t="shared" si="11"/>
        <v>6264</v>
      </c>
      <c r="M8" s="3"/>
      <c r="N8" s="3"/>
      <c r="O8" s="3"/>
      <c r="P8" s="3">
        <v>9654</v>
      </c>
      <c r="Q8" s="80">
        <f t="shared" si="12"/>
        <v>9654</v>
      </c>
      <c r="R8" s="3"/>
      <c r="S8" s="3"/>
      <c r="T8" s="3"/>
      <c r="U8" s="3"/>
      <c r="V8" s="80">
        <f t="shared" si="13"/>
        <v>0</v>
      </c>
      <c r="W8" s="3"/>
      <c r="X8" s="3"/>
      <c r="Y8" s="3"/>
      <c r="Z8" s="3"/>
      <c r="AA8" s="80">
        <f t="shared" si="14"/>
        <v>0</v>
      </c>
      <c r="AB8" s="3"/>
      <c r="AC8" s="3"/>
      <c r="AD8" s="3"/>
      <c r="AE8" s="3">
        <v>3000</v>
      </c>
      <c r="AF8" s="80">
        <f t="shared" si="15"/>
        <v>3000</v>
      </c>
      <c r="AG8" s="3"/>
      <c r="AH8" s="3"/>
      <c r="AI8" s="3"/>
      <c r="AJ8" s="3">
        <v>5000</v>
      </c>
      <c r="AK8" s="80">
        <f t="shared" si="16"/>
        <v>5000</v>
      </c>
      <c r="AL8" s="3"/>
      <c r="AM8" s="3"/>
      <c r="AN8" s="3">
        <v>1000</v>
      </c>
      <c r="AO8" s="53">
        <v>2500</v>
      </c>
      <c r="AP8" s="80">
        <f t="shared" si="17"/>
        <v>3500</v>
      </c>
      <c r="AQ8" s="3"/>
      <c r="AR8" s="3"/>
      <c r="AS8" s="3"/>
      <c r="AT8" s="3">
        <v>5264</v>
      </c>
      <c r="AU8" s="80">
        <f t="shared" si="18"/>
        <v>5264</v>
      </c>
      <c r="AV8" s="3">
        <v>4736</v>
      </c>
      <c r="AW8" s="3"/>
      <c r="AX8" s="3"/>
      <c r="AY8" s="3">
        <v>1202</v>
      </c>
      <c r="AZ8" s="80">
        <f t="shared" si="19"/>
        <v>5938</v>
      </c>
      <c r="BA8" s="3"/>
      <c r="BB8" s="3"/>
      <c r="BC8" s="3">
        <v>3800</v>
      </c>
      <c r="BD8" s="3">
        <v>1000</v>
      </c>
      <c r="BE8" s="80">
        <f t="shared" si="20"/>
        <v>4800</v>
      </c>
      <c r="BF8" s="3"/>
      <c r="BG8" s="3"/>
      <c r="BH8" s="3"/>
      <c r="BI8" s="3">
        <v>2583</v>
      </c>
      <c r="BJ8" s="80">
        <f t="shared" si="21"/>
        <v>2583</v>
      </c>
      <c r="BK8" s="12">
        <f t="shared" si="22"/>
        <v>46553</v>
      </c>
      <c r="BL8" s="3"/>
      <c r="BM8" s="3"/>
      <c r="BN8" s="3">
        <v>2000</v>
      </c>
      <c r="BO8" s="3">
        <v>1500</v>
      </c>
      <c r="BP8" s="80">
        <f t="shared" si="0"/>
        <v>3500</v>
      </c>
      <c r="BQ8" s="3"/>
      <c r="BR8" s="3"/>
      <c r="BS8" s="3">
        <v>4000</v>
      </c>
      <c r="BT8" s="3">
        <v>3182</v>
      </c>
      <c r="BU8" s="80">
        <f t="shared" si="23"/>
        <v>7182</v>
      </c>
      <c r="BV8" s="3"/>
      <c r="BW8" s="3"/>
      <c r="BX8" s="3">
        <v>1818</v>
      </c>
      <c r="BY8" s="3">
        <v>1000</v>
      </c>
      <c r="BZ8" s="80">
        <f t="shared" si="1"/>
        <v>2818</v>
      </c>
      <c r="CA8" s="3"/>
      <c r="CB8" s="3"/>
      <c r="CC8" s="3">
        <v>5000</v>
      </c>
      <c r="CD8" s="3">
        <v>700</v>
      </c>
      <c r="CE8" s="80">
        <f t="shared" si="2"/>
        <v>5700</v>
      </c>
      <c r="CF8" s="3"/>
      <c r="CG8" s="3"/>
      <c r="CH8" s="3">
        <v>6500</v>
      </c>
      <c r="CI8" s="3"/>
      <c r="CJ8" s="80">
        <f t="shared" si="3"/>
        <v>6500</v>
      </c>
      <c r="CK8" s="3"/>
      <c r="CL8" s="3"/>
      <c r="CM8" s="3">
        <v>5000</v>
      </c>
      <c r="CN8" s="3"/>
      <c r="CO8" s="80">
        <f t="shared" si="4"/>
        <v>5000</v>
      </c>
      <c r="CP8" s="3"/>
      <c r="CQ8" s="3"/>
      <c r="CR8" s="3">
        <v>5000</v>
      </c>
      <c r="CS8" s="3"/>
      <c r="CT8" s="80">
        <f t="shared" si="24"/>
        <v>5000</v>
      </c>
      <c r="CU8" s="3"/>
      <c r="CV8" s="3"/>
      <c r="CW8" s="3">
        <v>5000</v>
      </c>
      <c r="CX8" s="3"/>
      <c r="CY8" s="80">
        <f t="shared" si="25"/>
        <v>5000</v>
      </c>
      <c r="CZ8" s="3"/>
      <c r="DA8" s="3"/>
      <c r="DB8" s="3">
        <v>5000</v>
      </c>
      <c r="DC8" s="3"/>
      <c r="DD8" s="80">
        <f t="shared" si="5"/>
        <v>5000</v>
      </c>
      <c r="DE8" s="3"/>
      <c r="DF8" s="3"/>
      <c r="DG8" s="3">
        <v>4500</v>
      </c>
      <c r="DH8" s="3"/>
      <c r="DI8" s="80">
        <f t="shared" si="6"/>
        <v>4500</v>
      </c>
      <c r="DJ8" s="3"/>
      <c r="DK8" s="3"/>
      <c r="DL8" s="3">
        <v>3500</v>
      </c>
      <c r="DM8" s="3"/>
      <c r="DN8" s="80">
        <f t="shared" si="7"/>
        <v>3500</v>
      </c>
      <c r="DP8" s="3">
        <v>2500</v>
      </c>
      <c r="DQ8" s="3"/>
      <c r="DR8" s="3"/>
      <c r="DS8" s="80">
        <f t="shared" si="8"/>
        <v>2500</v>
      </c>
      <c r="DT8" s="12">
        <f t="shared" si="9"/>
        <v>56200</v>
      </c>
      <c r="DU8" s="3">
        <v>4000</v>
      </c>
      <c r="DV8" s="3"/>
      <c r="DW8" s="3"/>
      <c r="DX8" s="3"/>
      <c r="DY8" s="80">
        <f t="shared" si="26"/>
        <v>4000</v>
      </c>
      <c r="DZ8" s="3">
        <v>4000</v>
      </c>
      <c r="EA8" s="3"/>
      <c r="EB8" s="3"/>
      <c r="EC8" s="3"/>
      <c r="ED8" s="80">
        <f t="shared" si="27"/>
        <v>4000</v>
      </c>
      <c r="EE8" s="3">
        <v>3570</v>
      </c>
      <c r="EF8" s="3"/>
      <c r="EG8" s="3"/>
      <c r="EH8" s="3"/>
      <c r="EI8" s="80">
        <f t="shared" si="28"/>
        <v>3570</v>
      </c>
      <c r="EJ8" s="3">
        <v>4080</v>
      </c>
      <c r="EK8" s="3"/>
      <c r="EL8" s="3"/>
      <c r="EM8" s="3"/>
      <c r="EN8" s="80">
        <f t="shared" si="29"/>
        <v>4080</v>
      </c>
      <c r="EO8" s="3">
        <v>4080</v>
      </c>
      <c r="EP8" s="3"/>
      <c r="EQ8" s="3"/>
      <c r="ER8" s="3"/>
      <c r="ES8" s="80">
        <f t="shared" si="30"/>
        <v>4080</v>
      </c>
      <c r="ET8" s="3">
        <v>4080</v>
      </c>
      <c r="EU8" s="3"/>
      <c r="EV8" s="3"/>
      <c r="EW8" s="3"/>
      <c r="EX8" s="80">
        <f t="shared" si="31"/>
        <v>4080</v>
      </c>
      <c r="EY8" s="3">
        <v>4080</v>
      </c>
      <c r="EZ8" s="3"/>
      <c r="FA8" s="3"/>
      <c r="FB8" s="3"/>
      <c r="FC8" s="80">
        <f t="shared" si="32"/>
        <v>4080</v>
      </c>
      <c r="FD8" s="3">
        <v>4080</v>
      </c>
      <c r="FE8" s="3"/>
      <c r="FF8" s="3"/>
      <c r="FG8" s="3"/>
      <c r="FH8" s="80">
        <f t="shared" si="33"/>
        <v>4080</v>
      </c>
      <c r="FI8" s="3">
        <v>3060</v>
      </c>
      <c r="FJ8" s="3"/>
      <c r="FK8" s="3"/>
      <c r="FL8" s="3"/>
      <c r="FM8" s="80">
        <f t="shared" si="34"/>
        <v>3060</v>
      </c>
      <c r="FN8" s="3">
        <v>3060</v>
      </c>
      <c r="FO8" s="3"/>
      <c r="FP8" s="3"/>
      <c r="FQ8" s="3"/>
      <c r="FR8" s="80">
        <f t="shared" si="35"/>
        <v>3060</v>
      </c>
      <c r="FS8" s="3">
        <v>3060</v>
      </c>
      <c r="FT8" s="3"/>
      <c r="FU8" s="3"/>
      <c r="FV8" s="3"/>
      <c r="FW8" s="80">
        <f t="shared" si="36"/>
        <v>3060</v>
      </c>
      <c r="FX8" s="3">
        <v>3060</v>
      </c>
      <c r="FY8" s="3"/>
      <c r="FZ8" s="3"/>
      <c r="GA8" s="3"/>
      <c r="GB8" s="80">
        <f t="shared" si="37"/>
        <v>3060</v>
      </c>
      <c r="GC8" s="12">
        <f t="shared" si="38"/>
        <v>44210</v>
      </c>
    </row>
    <row r="9" spans="1:185" x14ac:dyDescent="0.35">
      <c r="A9" s="1" t="s">
        <v>10</v>
      </c>
      <c r="B9" s="1" t="s">
        <v>11</v>
      </c>
      <c r="G9" s="80">
        <f t="shared" si="10"/>
        <v>0</v>
      </c>
      <c r="H9" s="3"/>
      <c r="I9" s="3"/>
      <c r="J9" s="3"/>
      <c r="K9" s="3">
        <v>120</v>
      </c>
      <c r="L9" s="80">
        <f t="shared" si="11"/>
        <v>120</v>
      </c>
      <c r="M9" s="3"/>
      <c r="N9" s="3"/>
      <c r="O9" s="3"/>
      <c r="P9" s="3">
        <v>500</v>
      </c>
      <c r="Q9" s="80">
        <f t="shared" si="12"/>
        <v>500</v>
      </c>
      <c r="R9" s="3"/>
      <c r="S9" s="3"/>
      <c r="T9" s="3"/>
      <c r="U9" s="3"/>
      <c r="V9" s="80">
        <f t="shared" si="13"/>
        <v>0</v>
      </c>
      <c r="W9" s="3"/>
      <c r="X9" s="3"/>
      <c r="Y9" s="3"/>
      <c r="Z9" s="3"/>
      <c r="AA9" s="80">
        <f t="shared" si="14"/>
        <v>0</v>
      </c>
      <c r="AB9" s="3"/>
      <c r="AC9" s="3"/>
      <c r="AD9" s="3"/>
      <c r="AE9" s="3"/>
      <c r="AF9" s="80">
        <f t="shared" si="15"/>
        <v>0</v>
      </c>
      <c r="AG9" s="3"/>
      <c r="AH9" s="3"/>
      <c r="AI9" s="3"/>
      <c r="AJ9" s="3">
        <v>406</v>
      </c>
      <c r="AK9" s="80">
        <f t="shared" si="16"/>
        <v>406</v>
      </c>
      <c r="AL9" s="3"/>
      <c r="AM9" s="3"/>
      <c r="AN9" s="3"/>
      <c r="AO9" s="53"/>
      <c r="AP9" s="80">
        <f t="shared" si="17"/>
        <v>0</v>
      </c>
      <c r="AQ9" s="3"/>
      <c r="AR9" s="3"/>
      <c r="AS9" s="3"/>
      <c r="AT9" s="3"/>
      <c r="AU9" s="80">
        <f t="shared" si="18"/>
        <v>0</v>
      </c>
      <c r="AV9" s="3"/>
      <c r="AW9" s="3"/>
      <c r="AX9" s="3"/>
      <c r="AY9" s="3">
        <v>173</v>
      </c>
      <c r="AZ9" s="80">
        <f t="shared" si="19"/>
        <v>173</v>
      </c>
      <c r="BA9" s="3"/>
      <c r="BB9" s="3"/>
      <c r="BC9" s="3"/>
      <c r="BD9" s="128">
        <v>225</v>
      </c>
      <c r="BE9" s="80">
        <f t="shared" si="20"/>
        <v>225</v>
      </c>
      <c r="BF9" s="3"/>
      <c r="BG9" s="3"/>
      <c r="BH9" s="3"/>
      <c r="BI9" s="3"/>
      <c r="BJ9" s="80">
        <f t="shared" si="21"/>
        <v>0</v>
      </c>
      <c r="BK9" s="12">
        <f t="shared" si="22"/>
        <v>1424</v>
      </c>
      <c r="BL9" s="3"/>
      <c r="BM9" s="3"/>
      <c r="BN9" s="3"/>
      <c r="BO9" s="3">
        <v>288</v>
      </c>
      <c r="BP9" s="80">
        <f t="shared" si="0"/>
        <v>288</v>
      </c>
      <c r="BQ9" s="3"/>
      <c r="BR9" s="3"/>
      <c r="BS9" s="3"/>
      <c r="BT9" s="3">
        <v>200</v>
      </c>
      <c r="BU9" s="80">
        <f t="shared" si="23"/>
        <v>200</v>
      </c>
      <c r="BV9" s="3"/>
      <c r="BW9" s="3"/>
      <c r="BX9" s="3"/>
      <c r="BY9" s="3">
        <v>150</v>
      </c>
      <c r="BZ9" s="80">
        <f t="shared" si="1"/>
        <v>150</v>
      </c>
      <c r="CB9" s="3"/>
      <c r="CC9" s="3"/>
      <c r="CD9" s="3">
        <v>100</v>
      </c>
      <c r="CE9" s="80">
        <f t="shared" si="2"/>
        <v>100</v>
      </c>
      <c r="CG9" s="3"/>
      <c r="CH9" s="3"/>
      <c r="CI9" s="3">
        <v>175</v>
      </c>
      <c r="CJ9" s="80">
        <f t="shared" si="3"/>
        <v>175</v>
      </c>
      <c r="CL9" s="3"/>
      <c r="CM9" s="3"/>
      <c r="CN9" s="3">
        <v>250</v>
      </c>
      <c r="CO9" s="80">
        <f t="shared" si="4"/>
        <v>250</v>
      </c>
      <c r="CQ9" s="3"/>
      <c r="CR9" s="3"/>
      <c r="CS9" s="3"/>
      <c r="CT9" s="80">
        <f t="shared" si="24"/>
        <v>0</v>
      </c>
      <c r="CV9" s="3"/>
      <c r="CW9" s="3"/>
      <c r="CX9" s="3"/>
      <c r="CY9" s="80">
        <f t="shared" si="25"/>
        <v>0</v>
      </c>
      <c r="DA9" s="3"/>
      <c r="DB9" s="3"/>
      <c r="DC9" s="3">
        <v>100</v>
      </c>
      <c r="DD9" s="80">
        <f t="shared" si="5"/>
        <v>100</v>
      </c>
      <c r="DF9" s="3"/>
      <c r="DG9" s="3"/>
      <c r="DH9" s="3">
        <v>100</v>
      </c>
      <c r="DI9" s="80">
        <f t="shared" si="6"/>
        <v>100</v>
      </c>
      <c r="DK9" s="3"/>
      <c r="DM9" s="3">
        <v>125</v>
      </c>
      <c r="DN9" s="80">
        <f t="shared" si="7"/>
        <v>125</v>
      </c>
      <c r="DP9" s="3"/>
      <c r="DQ9" s="3"/>
      <c r="DR9" s="3"/>
      <c r="DS9" s="80">
        <f t="shared" si="8"/>
        <v>0</v>
      </c>
      <c r="DT9" s="12">
        <f t="shared" si="9"/>
        <v>1488</v>
      </c>
      <c r="DU9" s="3">
        <v>125</v>
      </c>
      <c r="DV9" s="3"/>
      <c r="DW9" s="3"/>
      <c r="DX9" s="3"/>
      <c r="DY9" s="80">
        <f t="shared" si="26"/>
        <v>125</v>
      </c>
      <c r="DZ9" s="3">
        <v>140</v>
      </c>
      <c r="EA9" s="3"/>
      <c r="EB9" s="3"/>
      <c r="EC9" s="3"/>
      <c r="ED9" s="80">
        <f t="shared" si="27"/>
        <v>140</v>
      </c>
      <c r="EE9" s="3">
        <v>127.5</v>
      </c>
      <c r="EF9" s="3"/>
      <c r="EG9" s="3"/>
      <c r="EH9" s="3"/>
      <c r="EI9" s="80">
        <f t="shared" si="28"/>
        <v>127.5</v>
      </c>
      <c r="EJ9" s="3">
        <v>153</v>
      </c>
      <c r="EK9" s="3"/>
      <c r="EL9" s="3"/>
      <c r="EM9" s="3"/>
      <c r="EN9" s="80">
        <f t="shared" si="29"/>
        <v>153</v>
      </c>
      <c r="EO9" s="3">
        <v>153</v>
      </c>
      <c r="EP9" s="3"/>
      <c r="EQ9" s="3"/>
      <c r="ER9" s="3"/>
      <c r="ES9" s="80">
        <f t="shared" si="30"/>
        <v>153</v>
      </c>
      <c r="ET9" s="3">
        <v>153</v>
      </c>
      <c r="EU9" s="3"/>
      <c r="EV9" s="3"/>
      <c r="EW9" s="3"/>
      <c r="EX9" s="80">
        <f t="shared" si="31"/>
        <v>153</v>
      </c>
      <c r="EY9" s="3">
        <v>204</v>
      </c>
      <c r="EZ9" s="3"/>
      <c r="FA9" s="3"/>
      <c r="FB9" s="3"/>
      <c r="FC9" s="80">
        <f t="shared" si="32"/>
        <v>204</v>
      </c>
      <c r="FD9" s="3">
        <v>204</v>
      </c>
      <c r="FE9" s="3"/>
      <c r="FF9" s="3"/>
      <c r="FG9" s="3"/>
      <c r="FH9" s="80">
        <f t="shared" si="33"/>
        <v>204</v>
      </c>
      <c r="FI9" s="3">
        <v>153</v>
      </c>
      <c r="FJ9" s="3"/>
      <c r="FK9" s="3"/>
      <c r="FL9" s="3"/>
      <c r="FM9" s="80">
        <f t="shared" si="34"/>
        <v>153</v>
      </c>
      <c r="FN9" s="3">
        <v>127.5</v>
      </c>
      <c r="FO9" s="3"/>
      <c r="FP9" s="3"/>
      <c r="FQ9" s="3"/>
      <c r="FR9" s="80">
        <f t="shared" si="35"/>
        <v>127.5</v>
      </c>
      <c r="FS9" s="3">
        <v>127.5</v>
      </c>
      <c r="FT9" s="3"/>
      <c r="FU9" s="3"/>
      <c r="FV9" s="3"/>
      <c r="FW9" s="80">
        <f t="shared" si="36"/>
        <v>127.5</v>
      </c>
      <c r="FX9" s="3">
        <v>127.5</v>
      </c>
      <c r="FY9" s="3"/>
      <c r="FZ9" s="3"/>
      <c r="GA9" s="3"/>
      <c r="GB9" s="80">
        <f t="shared" si="37"/>
        <v>127.5</v>
      </c>
      <c r="GC9" s="12">
        <f t="shared" si="38"/>
        <v>1795</v>
      </c>
    </row>
    <row r="10" spans="1:185" x14ac:dyDescent="0.35">
      <c r="A10" s="1" t="s">
        <v>10</v>
      </c>
      <c r="B10" s="1" t="s">
        <v>12</v>
      </c>
      <c r="G10" s="80">
        <f t="shared" si="10"/>
        <v>0</v>
      </c>
      <c r="H10" s="3"/>
      <c r="I10" s="3"/>
      <c r="J10" s="3"/>
      <c r="K10" s="3">
        <v>501</v>
      </c>
      <c r="L10" s="80">
        <f t="shared" si="11"/>
        <v>501</v>
      </c>
      <c r="M10" s="3"/>
      <c r="N10" s="3"/>
      <c r="O10" s="3"/>
      <c r="P10" s="3">
        <v>470</v>
      </c>
      <c r="Q10" s="80">
        <f t="shared" si="12"/>
        <v>470</v>
      </c>
      <c r="R10" s="3"/>
      <c r="S10" s="3"/>
      <c r="T10" s="3"/>
      <c r="U10" s="3"/>
      <c r="V10" s="80">
        <f t="shared" si="13"/>
        <v>0</v>
      </c>
      <c r="W10" s="3"/>
      <c r="X10" s="3"/>
      <c r="Y10" s="3"/>
      <c r="Z10" s="3"/>
      <c r="AA10" s="80">
        <f t="shared" si="14"/>
        <v>0</v>
      </c>
      <c r="AB10" s="3"/>
      <c r="AC10" s="3"/>
      <c r="AD10" s="3"/>
      <c r="AE10" s="3">
        <v>389</v>
      </c>
      <c r="AF10" s="80">
        <f t="shared" si="15"/>
        <v>389</v>
      </c>
      <c r="AG10" s="3"/>
      <c r="AH10" s="3"/>
      <c r="AI10" s="3"/>
      <c r="AJ10" s="3"/>
      <c r="AK10" s="80">
        <f t="shared" si="16"/>
        <v>0</v>
      </c>
      <c r="AL10" s="3"/>
      <c r="AM10" s="3"/>
      <c r="AN10" s="3"/>
      <c r="AO10" s="84">
        <v>500</v>
      </c>
      <c r="AP10" s="80">
        <f t="shared" si="17"/>
        <v>500</v>
      </c>
      <c r="AQ10" s="3"/>
      <c r="AR10" s="3"/>
      <c r="AS10" s="3"/>
      <c r="AT10" s="3">
        <v>208</v>
      </c>
      <c r="AU10" s="80">
        <f t="shared" si="18"/>
        <v>208</v>
      </c>
      <c r="AV10" s="3"/>
      <c r="AW10" s="3"/>
      <c r="AX10" s="3"/>
      <c r="AY10" s="3">
        <v>271</v>
      </c>
      <c r="AZ10" s="80">
        <f t="shared" si="19"/>
        <v>271</v>
      </c>
      <c r="BA10" s="3"/>
      <c r="BB10" s="3"/>
      <c r="BC10" s="3"/>
      <c r="BD10" s="128">
        <v>290</v>
      </c>
      <c r="BE10" s="80">
        <f t="shared" si="20"/>
        <v>290</v>
      </c>
      <c r="BF10" s="3"/>
      <c r="BG10" s="3"/>
      <c r="BH10" s="3"/>
      <c r="BI10" s="3"/>
      <c r="BJ10" s="80">
        <f t="shared" si="21"/>
        <v>0</v>
      </c>
      <c r="BK10" s="12">
        <f t="shared" si="22"/>
        <v>2629</v>
      </c>
      <c r="BL10" s="3"/>
      <c r="BM10" s="3"/>
      <c r="BN10" s="3"/>
      <c r="BO10" s="3">
        <v>388</v>
      </c>
      <c r="BP10" s="80">
        <f t="shared" si="0"/>
        <v>388</v>
      </c>
      <c r="BQ10" s="3"/>
      <c r="BR10" s="3"/>
      <c r="BS10" s="3"/>
      <c r="BT10" s="3">
        <v>400</v>
      </c>
      <c r="BU10" s="80">
        <f t="shared" si="23"/>
        <v>400</v>
      </c>
      <c r="BV10" s="3"/>
      <c r="BW10" s="3"/>
      <c r="BX10" s="3"/>
      <c r="BY10" s="3">
        <v>150</v>
      </c>
      <c r="BZ10" s="80">
        <f t="shared" si="1"/>
        <v>150</v>
      </c>
      <c r="CB10" s="3"/>
      <c r="CC10" s="3"/>
      <c r="CD10" s="3">
        <v>250</v>
      </c>
      <c r="CE10" s="80">
        <f t="shared" si="2"/>
        <v>250</v>
      </c>
      <c r="CG10" s="3"/>
      <c r="CH10" s="3"/>
      <c r="CI10" s="3">
        <v>200</v>
      </c>
      <c r="CJ10" s="80">
        <f t="shared" si="3"/>
        <v>200</v>
      </c>
      <c r="CL10" s="3"/>
      <c r="CM10" s="3"/>
      <c r="CN10" s="3">
        <v>200</v>
      </c>
      <c r="CO10" s="80">
        <f t="shared" si="4"/>
        <v>200</v>
      </c>
      <c r="CQ10" s="3"/>
      <c r="CR10" s="3"/>
      <c r="CS10" s="3"/>
      <c r="CT10" s="80">
        <f t="shared" si="24"/>
        <v>0</v>
      </c>
      <c r="CV10" s="3"/>
      <c r="CW10" s="3"/>
      <c r="CX10" s="3"/>
      <c r="CY10" s="80">
        <f t="shared" si="25"/>
        <v>0</v>
      </c>
      <c r="DA10" s="3"/>
      <c r="DB10" s="3"/>
      <c r="DC10" s="3">
        <v>250</v>
      </c>
      <c r="DD10" s="80">
        <f t="shared" si="5"/>
        <v>250</v>
      </c>
      <c r="DF10" s="3"/>
      <c r="DG10" s="3"/>
      <c r="DH10" s="3">
        <v>200</v>
      </c>
      <c r="DI10" s="80">
        <f t="shared" si="6"/>
        <v>200</v>
      </c>
      <c r="DK10" s="3"/>
      <c r="DM10" s="3"/>
      <c r="DN10" s="80">
        <f t="shared" si="7"/>
        <v>0</v>
      </c>
      <c r="DP10" s="3">
        <v>200</v>
      </c>
      <c r="DQ10" s="3"/>
      <c r="DR10" s="3"/>
      <c r="DS10" s="80">
        <f t="shared" si="8"/>
        <v>200</v>
      </c>
      <c r="DT10" s="12">
        <f t="shared" si="9"/>
        <v>2238</v>
      </c>
      <c r="DU10" s="3">
        <v>250</v>
      </c>
      <c r="DV10" s="3"/>
      <c r="DW10" s="3"/>
      <c r="DX10" s="3"/>
      <c r="DY10" s="80">
        <f t="shared" si="26"/>
        <v>250</v>
      </c>
      <c r="DZ10" s="3">
        <v>200</v>
      </c>
      <c r="EA10" s="3"/>
      <c r="EB10" s="3"/>
      <c r="EC10" s="3"/>
      <c r="ED10" s="80">
        <f t="shared" si="27"/>
        <v>200</v>
      </c>
      <c r="EE10" s="3">
        <v>204</v>
      </c>
      <c r="EF10" s="3"/>
      <c r="EG10" s="3"/>
      <c r="EH10" s="3"/>
      <c r="EI10" s="80">
        <f t="shared" si="28"/>
        <v>204</v>
      </c>
      <c r="EJ10" s="3">
        <v>306</v>
      </c>
      <c r="EK10" s="3"/>
      <c r="EL10" s="3"/>
      <c r="EM10" s="3"/>
      <c r="EN10" s="80">
        <f t="shared" si="29"/>
        <v>306</v>
      </c>
      <c r="EO10" s="3">
        <v>357</v>
      </c>
      <c r="EP10" s="3"/>
      <c r="EQ10" s="3"/>
      <c r="ER10" s="3"/>
      <c r="ES10" s="80">
        <f t="shared" si="30"/>
        <v>357</v>
      </c>
      <c r="ET10" s="3">
        <v>357</v>
      </c>
      <c r="EU10" s="3"/>
      <c r="EV10" s="3"/>
      <c r="EW10" s="3"/>
      <c r="EX10" s="80">
        <f t="shared" si="31"/>
        <v>357</v>
      </c>
      <c r="EY10" s="3">
        <v>306</v>
      </c>
      <c r="EZ10" s="3"/>
      <c r="FA10" s="3"/>
      <c r="FB10" s="3"/>
      <c r="FC10" s="80">
        <f t="shared" si="32"/>
        <v>306</v>
      </c>
      <c r="FD10" s="3">
        <v>306</v>
      </c>
      <c r="FE10" s="3"/>
      <c r="FF10" s="3"/>
      <c r="FG10" s="3"/>
      <c r="FH10" s="80">
        <f t="shared" si="33"/>
        <v>306</v>
      </c>
      <c r="FI10" s="3">
        <v>255</v>
      </c>
      <c r="FJ10" s="3"/>
      <c r="FK10" s="3"/>
      <c r="FL10" s="3"/>
      <c r="FM10" s="80">
        <f t="shared" si="34"/>
        <v>255</v>
      </c>
      <c r="FN10" s="3">
        <v>204</v>
      </c>
      <c r="FO10" s="3"/>
      <c r="FP10" s="3"/>
      <c r="FQ10" s="3"/>
      <c r="FR10" s="80">
        <f t="shared" si="35"/>
        <v>204</v>
      </c>
      <c r="FS10" s="3">
        <v>204</v>
      </c>
      <c r="FT10" s="3"/>
      <c r="FU10" s="3"/>
      <c r="FV10" s="3"/>
      <c r="FW10" s="80">
        <f t="shared" si="36"/>
        <v>204</v>
      </c>
      <c r="FX10" s="3">
        <v>204</v>
      </c>
      <c r="FY10" s="3"/>
      <c r="FZ10" s="3"/>
      <c r="GA10" s="3"/>
      <c r="GB10" s="80">
        <f t="shared" si="37"/>
        <v>204</v>
      </c>
      <c r="GC10" s="12">
        <f t="shared" si="38"/>
        <v>3153</v>
      </c>
    </row>
    <row r="11" spans="1:185" x14ac:dyDescent="0.35">
      <c r="A11" s="1" t="s">
        <v>10</v>
      </c>
      <c r="B11" s="1" t="s">
        <v>13</v>
      </c>
      <c r="G11" s="80">
        <f t="shared" si="10"/>
        <v>0</v>
      </c>
      <c r="H11" s="3"/>
      <c r="I11" s="3"/>
      <c r="J11" s="3"/>
      <c r="K11" s="3">
        <v>120</v>
      </c>
      <c r="L11" s="80">
        <f t="shared" si="11"/>
        <v>120</v>
      </c>
      <c r="M11" s="3"/>
      <c r="N11" s="3"/>
      <c r="O11" s="3"/>
      <c r="P11" s="3">
        <v>600</v>
      </c>
      <c r="Q11" s="80">
        <f t="shared" si="12"/>
        <v>600</v>
      </c>
      <c r="R11" s="3"/>
      <c r="S11" s="3"/>
      <c r="T11" s="3"/>
      <c r="U11" s="3"/>
      <c r="V11" s="80">
        <f t="shared" si="13"/>
        <v>0</v>
      </c>
      <c r="W11" s="3"/>
      <c r="X11" s="3"/>
      <c r="Y11" s="3"/>
      <c r="Z11" s="3"/>
      <c r="AA11" s="80">
        <f t="shared" si="14"/>
        <v>0</v>
      </c>
      <c r="AB11" s="3"/>
      <c r="AC11" s="3"/>
      <c r="AD11" s="3"/>
      <c r="AE11" s="3"/>
      <c r="AF11" s="80">
        <f t="shared" si="15"/>
        <v>0</v>
      </c>
      <c r="AG11" s="3"/>
      <c r="AH11" s="3"/>
      <c r="AI11" s="3"/>
      <c r="AJ11" s="3">
        <v>500</v>
      </c>
      <c r="AK11" s="80">
        <f t="shared" si="16"/>
        <v>500</v>
      </c>
      <c r="AL11" s="3"/>
      <c r="AM11" s="3"/>
      <c r="AN11" s="3"/>
      <c r="AO11" s="53"/>
      <c r="AP11" s="80">
        <f t="shared" si="17"/>
        <v>0</v>
      </c>
      <c r="AQ11" s="3"/>
      <c r="AR11" s="3"/>
      <c r="AS11" s="3"/>
      <c r="AT11" s="3">
        <v>203</v>
      </c>
      <c r="AU11" s="80">
        <f t="shared" si="18"/>
        <v>203</v>
      </c>
      <c r="AV11" s="3"/>
      <c r="AW11" s="3"/>
      <c r="AX11" s="3"/>
      <c r="AY11" s="3">
        <v>223</v>
      </c>
      <c r="AZ11" s="80">
        <f t="shared" si="19"/>
        <v>223</v>
      </c>
      <c r="BA11" s="3"/>
      <c r="BB11" s="3"/>
      <c r="BC11" s="3"/>
      <c r="BD11" s="3">
        <v>200</v>
      </c>
      <c r="BE11" s="80">
        <f t="shared" si="20"/>
        <v>200</v>
      </c>
      <c r="BF11" s="3">
        <v>146</v>
      </c>
      <c r="BG11" s="3"/>
      <c r="BH11" s="3"/>
      <c r="BI11" s="3"/>
      <c r="BJ11" s="80">
        <f t="shared" si="21"/>
        <v>146</v>
      </c>
      <c r="BK11" s="12">
        <f t="shared" si="22"/>
        <v>1992</v>
      </c>
      <c r="BL11" s="3"/>
      <c r="BM11" s="3"/>
      <c r="BN11" s="3"/>
      <c r="BO11" s="3">
        <v>432</v>
      </c>
      <c r="BP11" s="80">
        <f t="shared" si="0"/>
        <v>432</v>
      </c>
      <c r="BQ11" s="3"/>
      <c r="BR11" s="3"/>
      <c r="BS11" s="3"/>
      <c r="BT11" s="3">
        <v>175</v>
      </c>
      <c r="BU11" s="80">
        <f t="shared" si="23"/>
        <v>175</v>
      </c>
      <c r="BV11" s="3"/>
      <c r="BW11" s="3"/>
      <c r="BX11" s="3"/>
      <c r="BY11" s="3">
        <v>150</v>
      </c>
      <c r="BZ11" s="80">
        <f t="shared" si="1"/>
        <v>150</v>
      </c>
      <c r="CB11" s="3"/>
      <c r="CC11" s="3"/>
      <c r="CD11" s="3">
        <v>100</v>
      </c>
      <c r="CE11" s="80">
        <f t="shared" si="2"/>
        <v>100</v>
      </c>
      <c r="CG11" s="3"/>
      <c r="CH11" s="3"/>
      <c r="CI11" s="3">
        <v>250</v>
      </c>
      <c r="CJ11" s="80">
        <f t="shared" si="3"/>
        <v>250</v>
      </c>
      <c r="CL11" s="3"/>
      <c r="CM11" s="3"/>
      <c r="CN11" s="3">
        <v>100</v>
      </c>
      <c r="CO11" s="80">
        <f t="shared" si="4"/>
        <v>100</v>
      </c>
      <c r="CQ11" s="3"/>
      <c r="CR11" s="3"/>
      <c r="CS11" s="3"/>
      <c r="CT11" s="80">
        <f t="shared" si="24"/>
        <v>0</v>
      </c>
      <c r="CV11" s="3"/>
      <c r="CW11" s="3"/>
      <c r="CX11" s="3">
        <v>220</v>
      </c>
      <c r="CY11" s="80">
        <f t="shared" si="25"/>
        <v>220</v>
      </c>
      <c r="DA11" s="3"/>
      <c r="DB11" s="3"/>
      <c r="DC11" s="3">
        <v>175</v>
      </c>
      <c r="DD11" s="80">
        <f t="shared" si="5"/>
        <v>175</v>
      </c>
      <c r="DE11" s="3"/>
      <c r="DF11" s="3"/>
      <c r="DG11" s="3"/>
      <c r="DH11" s="3">
        <v>200</v>
      </c>
      <c r="DI11" s="80">
        <f t="shared" si="6"/>
        <v>200</v>
      </c>
      <c r="DJ11" s="3"/>
      <c r="DK11" s="3"/>
      <c r="DL11" s="3"/>
      <c r="DM11" s="3">
        <v>200</v>
      </c>
      <c r="DN11" s="80">
        <f t="shared" si="7"/>
        <v>200</v>
      </c>
      <c r="DO11" s="3">
        <v>100</v>
      </c>
      <c r="DP11" s="3"/>
      <c r="DQ11" s="3"/>
      <c r="DR11" s="3"/>
      <c r="DS11" s="80">
        <f t="shared" si="8"/>
        <v>100</v>
      </c>
      <c r="DT11" s="12">
        <f t="shared" si="9"/>
        <v>2102</v>
      </c>
      <c r="DU11" s="3">
        <v>175</v>
      </c>
      <c r="DV11" s="3"/>
      <c r="DW11" s="3"/>
      <c r="DX11" s="3"/>
      <c r="DY11" s="80">
        <f t="shared" si="26"/>
        <v>175</v>
      </c>
      <c r="DZ11" s="3">
        <v>175</v>
      </c>
      <c r="EA11" s="3"/>
      <c r="EB11" s="3"/>
      <c r="EC11" s="3"/>
      <c r="ED11" s="80">
        <f t="shared" si="27"/>
        <v>175</v>
      </c>
      <c r="EE11" s="3">
        <v>178.5</v>
      </c>
      <c r="EF11" s="3"/>
      <c r="EG11" s="3"/>
      <c r="EH11" s="3"/>
      <c r="EI11" s="80">
        <f t="shared" si="28"/>
        <v>178.5</v>
      </c>
      <c r="EJ11" s="3">
        <v>204</v>
      </c>
      <c r="EK11" s="3"/>
      <c r="EL11" s="3"/>
      <c r="EM11" s="3"/>
      <c r="EN11" s="80">
        <f t="shared" si="29"/>
        <v>204</v>
      </c>
      <c r="EO11" s="3">
        <v>204</v>
      </c>
      <c r="EP11" s="3"/>
      <c r="EQ11" s="3"/>
      <c r="ER11" s="3"/>
      <c r="ES11" s="80">
        <f t="shared" si="30"/>
        <v>204</v>
      </c>
      <c r="ET11" s="3">
        <v>204</v>
      </c>
      <c r="EU11" s="3"/>
      <c r="EV11" s="3"/>
      <c r="EW11" s="3"/>
      <c r="EX11" s="80">
        <f t="shared" si="31"/>
        <v>204</v>
      </c>
      <c r="EY11" s="3">
        <v>204</v>
      </c>
      <c r="EZ11" s="3"/>
      <c r="FA11" s="3"/>
      <c r="FB11" s="3"/>
      <c r="FC11" s="80">
        <f t="shared" si="32"/>
        <v>204</v>
      </c>
      <c r="FD11" s="3">
        <v>178.5</v>
      </c>
      <c r="FE11" s="3"/>
      <c r="FF11" s="3"/>
      <c r="FG11" s="3"/>
      <c r="FH11" s="80">
        <f t="shared" si="33"/>
        <v>178.5</v>
      </c>
      <c r="FI11" s="3">
        <v>178.5</v>
      </c>
      <c r="FJ11" s="3"/>
      <c r="FK11" s="3"/>
      <c r="FL11" s="3"/>
      <c r="FM11" s="80">
        <f t="shared" si="34"/>
        <v>178.5</v>
      </c>
      <c r="FN11" s="3">
        <v>153</v>
      </c>
      <c r="FO11" s="3"/>
      <c r="FP11" s="3"/>
      <c r="FQ11" s="3"/>
      <c r="FR11" s="80">
        <f t="shared" si="35"/>
        <v>153</v>
      </c>
      <c r="FS11" s="3">
        <v>153</v>
      </c>
      <c r="FT11" s="3"/>
      <c r="FU11" s="3"/>
      <c r="FV11" s="3"/>
      <c r="FW11" s="80">
        <f t="shared" si="36"/>
        <v>153</v>
      </c>
      <c r="FX11" s="3">
        <v>153</v>
      </c>
      <c r="FY11" s="3"/>
      <c r="FZ11" s="3"/>
      <c r="GA11" s="3"/>
      <c r="GB11" s="80">
        <f t="shared" si="37"/>
        <v>153</v>
      </c>
      <c r="GC11" s="12">
        <f t="shared" si="38"/>
        <v>2160.5</v>
      </c>
    </row>
    <row r="12" spans="1:185" x14ac:dyDescent="0.35">
      <c r="A12" s="1" t="s">
        <v>10</v>
      </c>
      <c r="B12" s="1" t="s">
        <v>14</v>
      </c>
      <c r="F12" s="1">
        <v>3100</v>
      </c>
      <c r="G12" s="80">
        <f t="shared" si="10"/>
        <v>3100</v>
      </c>
      <c r="H12" s="3"/>
      <c r="I12" s="3"/>
      <c r="J12" s="3"/>
      <c r="K12" s="3">
        <v>4042</v>
      </c>
      <c r="L12" s="80">
        <f t="shared" si="11"/>
        <v>4042</v>
      </c>
      <c r="M12" s="3"/>
      <c r="N12" s="3"/>
      <c r="O12" s="3"/>
      <c r="P12" s="3">
        <v>4166</v>
      </c>
      <c r="Q12" s="80">
        <f t="shared" si="12"/>
        <v>4166</v>
      </c>
      <c r="R12" s="3"/>
      <c r="S12" s="3"/>
      <c r="T12" s="3"/>
      <c r="U12" s="3">
        <v>509</v>
      </c>
      <c r="V12" s="80">
        <f t="shared" si="13"/>
        <v>509</v>
      </c>
      <c r="W12" s="3"/>
      <c r="X12" s="3"/>
      <c r="Y12" s="3"/>
      <c r="Z12" s="3"/>
      <c r="AA12" s="80">
        <f t="shared" si="14"/>
        <v>0</v>
      </c>
      <c r="AB12" s="3"/>
      <c r="AC12" s="3"/>
      <c r="AD12" s="3"/>
      <c r="AE12" s="3">
        <v>3349</v>
      </c>
      <c r="AF12" s="80">
        <f t="shared" si="15"/>
        <v>3349</v>
      </c>
      <c r="AG12" s="3"/>
      <c r="AH12" s="3"/>
      <c r="AI12" s="3"/>
      <c r="AJ12" s="3">
        <v>4548</v>
      </c>
      <c r="AK12" s="80">
        <f t="shared" si="16"/>
        <v>4548</v>
      </c>
      <c r="AL12" s="3">
        <v>2456</v>
      </c>
      <c r="AM12" s="3"/>
      <c r="AN12" s="3"/>
      <c r="AO12" s="53"/>
      <c r="AP12" s="80">
        <f t="shared" si="17"/>
        <v>2456</v>
      </c>
      <c r="AQ12" s="3">
        <v>1000</v>
      </c>
      <c r="AR12" s="3">
        <v>3504</v>
      </c>
      <c r="AS12" s="3"/>
      <c r="AT12" s="3"/>
      <c r="AU12" s="80">
        <f t="shared" si="18"/>
        <v>4504</v>
      </c>
      <c r="AV12" s="3"/>
      <c r="AW12" s="3">
        <v>2000</v>
      </c>
      <c r="AX12" s="3">
        <v>2000</v>
      </c>
      <c r="AY12" s="3">
        <v>1761</v>
      </c>
      <c r="AZ12" s="80">
        <f t="shared" si="19"/>
        <v>5761</v>
      </c>
      <c r="BA12" s="3">
        <v>2169</v>
      </c>
      <c r="BB12" s="3">
        <v>2500</v>
      </c>
      <c r="BC12" s="3">
        <v>500</v>
      </c>
      <c r="BD12" s="3"/>
      <c r="BE12" s="80">
        <f t="shared" si="20"/>
        <v>5169</v>
      </c>
      <c r="BF12" s="3">
        <v>2167</v>
      </c>
      <c r="BG12" s="3"/>
      <c r="BH12" s="3"/>
      <c r="BI12" s="3"/>
      <c r="BJ12" s="80">
        <f t="shared" si="21"/>
        <v>2167</v>
      </c>
      <c r="BK12" s="12">
        <f t="shared" si="22"/>
        <v>39771</v>
      </c>
      <c r="BL12" s="3">
        <v>2000</v>
      </c>
      <c r="BM12" s="3">
        <v>3000</v>
      </c>
      <c r="BN12" s="3">
        <v>1500</v>
      </c>
      <c r="BO12" s="3"/>
      <c r="BP12" s="80">
        <f t="shared" si="0"/>
        <v>6500</v>
      </c>
      <c r="BQ12" s="3">
        <v>3000</v>
      </c>
      <c r="BR12" s="3">
        <v>2500</v>
      </c>
      <c r="BS12" s="3"/>
      <c r="BT12" s="3"/>
      <c r="BU12" s="80">
        <f t="shared" si="23"/>
        <v>5500</v>
      </c>
      <c r="BV12" s="3">
        <v>3000</v>
      </c>
      <c r="BW12" s="3">
        <v>3000</v>
      </c>
      <c r="BX12" s="3"/>
      <c r="BY12" s="3"/>
      <c r="BZ12" s="80">
        <f t="shared" si="1"/>
        <v>6000</v>
      </c>
      <c r="CA12" s="3">
        <v>2500</v>
      </c>
      <c r="CB12" s="3">
        <v>2500</v>
      </c>
      <c r="CC12" s="3"/>
      <c r="CD12" s="3"/>
      <c r="CE12" s="80">
        <f t="shared" si="2"/>
        <v>5000</v>
      </c>
      <c r="CF12" s="3">
        <v>2500</v>
      </c>
      <c r="CG12" s="3">
        <v>3000</v>
      </c>
      <c r="CH12" s="3"/>
      <c r="CI12" s="3"/>
      <c r="CJ12" s="80">
        <f t="shared" si="3"/>
        <v>5500</v>
      </c>
      <c r="CK12" s="3">
        <v>2500</v>
      </c>
      <c r="CL12" s="3">
        <v>2000</v>
      </c>
      <c r="CM12" s="3"/>
      <c r="CN12" s="3"/>
      <c r="CO12" s="80">
        <f t="shared" si="4"/>
        <v>4500</v>
      </c>
      <c r="CP12" s="3">
        <v>2000</v>
      </c>
      <c r="CQ12" s="3">
        <v>2500</v>
      </c>
      <c r="CR12" s="3"/>
      <c r="CS12" s="3"/>
      <c r="CT12" s="80">
        <f t="shared" si="24"/>
        <v>4500</v>
      </c>
      <c r="CU12" s="3">
        <v>2000</v>
      </c>
      <c r="CV12" s="3">
        <v>2000</v>
      </c>
      <c r="CW12" s="3"/>
      <c r="CX12" s="3"/>
      <c r="CY12" s="80">
        <f t="shared" si="25"/>
        <v>4000</v>
      </c>
      <c r="CZ12" s="3">
        <v>2000</v>
      </c>
      <c r="DA12" s="3">
        <v>2000</v>
      </c>
      <c r="DB12" s="3"/>
      <c r="DC12" s="3"/>
      <c r="DD12" s="80">
        <f t="shared" si="5"/>
        <v>4000</v>
      </c>
      <c r="DE12" s="3">
        <v>2000</v>
      </c>
      <c r="DF12" s="3">
        <v>2000</v>
      </c>
      <c r="DG12" s="3"/>
      <c r="DH12" s="3"/>
      <c r="DI12" s="80">
        <f t="shared" si="6"/>
        <v>4000</v>
      </c>
      <c r="DJ12" s="3">
        <v>2000</v>
      </c>
      <c r="DK12" s="3">
        <v>2500</v>
      </c>
      <c r="DL12" s="3"/>
      <c r="DM12" s="3"/>
      <c r="DN12" s="80">
        <f t="shared" si="7"/>
        <v>4500</v>
      </c>
      <c r="DO12" s="3">
        <v>2500</v>
      </c>
      <c r="DP12" s="3"/>
      <c r="DQ12" s="3"/>
      <c r="DR12" s="3"/>
      <c r="DS12" s="80">
        <f t="shared" si="8"/>
        <v>2500</v>
      </c>
      <c r="DT12" s="12">
        <f t="shared" si="9"/>
        <v>56500</v>
      </c>
      <c r="DU12" s="3">
        <v>5500</v>
      </c>
      <c r="DV12" s="3"/>
      <c r="DW12" s="3"/>
      <c r="DX12" s="3"/>
      <c r="DY12" s="80">
        <f t="shared" si="26"/>
        <v>5500</v>
      </c>
      <c r="DZ12" s="3">
        <v>5000</v>
      </c>
      <c r="EA12" s="3"/>
      <c r="EB12" s="3"/>
      <c r="EC12" s="3"/>
      <c r="ED12" s="80">
        <f t="shared" si="27"/>
        <v>5000</v>
      </c>
      <c r="EE12" s="3">
        <v>5100</v>
      </c>
      <c r="EF12" s="3"/>
      <c r="EG12" s="3"/>
      <c r="EH12" s="3"/>
      <c r="EI12" s="80">
        <f t="shared" si="28"/>
        <v>5100</v>
      </c>
      <c r="EJ12" s="3">
        <v>4590</v>
      </c>
      <c r="EK12" s="3"/>
      <c r="EL12" s="3"/>
      <c r="EM12" s="3"/>
      <c r="EN12" s="80">
        <f t="shared" si="29"/>
        <v>4590</v>
      </c>
      <c r="EO12" s="3">
        <v>4590</v>
      </c>
      <c r="EP12" s="3"/>
      <c r="EQ12" s="3"/>
      <c r="ER12" s="3"/>
      <c r="ES12" s="80">
        <f t="shared" si="30"/>
        <v>4590</v>
      </c>
      <c r="ET12" s="3">
        <v>4590</v>
      </c>
      <c r="EU12" s="3"/>
      <c r="EV12" s="3"/>
      <c r="EW12" s="3"/>
      <c r="EX12" s="80">
        <f t="shared" si="31"/>
        <v>4590</v>
      </c>
      <c r="EY12" s="3">
        <v>4590</v>
      </c>
      <c r="EZ12" s="3"/>
      <c r="FA12" s="3"/>
      <c r="FB12" s="3"/>
      <c r="FC12" s="80">
        <f t="shared" si="32"/>
        <v>4590</v>
      </c>
      <c r="FD12" s="3">
        <v>4590</v>
      </c>
      <c r="FE12" s="3"/>
      <c r="FF12" s="3"/>
      <c r="FG12" s="3"/>
      <c r="FH12" s="80">
        <f t="shared" si="33"/>
        <v>4590</v>
      </c>
      <c r="FI12" s="3">
        <v>4590</v>
      </c>
      <c r="FJ12" s="3"/>
      <c r="FK12" s="3"/>
      <c r="FL12" s="3"/>
      <c r="FM12" s="80">
        <f t="shared" si="34"/>
        <v>4590</v>
      </c>
      <c r="FN12" s="3">
        <v>3570</v>
      </c>
      <c r="FO12" s="3"/>
      <c r="FP12" s="3"/>
      <c r="FQ12" s="3"/>
      <c r="FR12" s="80">
        <f t="shared" si="35"/>
        <v>3570</v>
      </c>
      <c r="FS12" s="3">
        <v>3570</v>
      </c>
      <c r="FT12" s="3"/>
      <c r="FU12" s="3"/>
      <c r="FV12" s="3"/>
      <c r="FW12" s="80">
        <f t="shared" si="36"/>
        <v>3570</v>
      </c>
      <c r="FX12" s="3">
        <v>3570</v>
      </c>
      <c r="FY12" s="3"/>
      <c r="FZ12" s="3"/>
      <c r="GA12" s="3"/>
      <c r="GB12" s="80">
        <f t="shared" si="37"/>
        <v>3570</v>
      </c>
      <c r="GC12" s="12">
        <f t="shared" si="38"/>
        <v>53850</v>
      </c>
    </row>
    <row r="13" spans="1:185" x14ac:dyDescent="0.35">
      <c r="A13" s="1" t="s">
        <v>10</v>
      </c>
      <c r="B13" s="1" t="s">
        <v>15</v>
      </c>
      <c r="F13" s="1">
        <v>300</v>
      </c>
      <c r="G13" s="80">
        <f>SUM(C13:F13)</f>
        <v>300</v>
      </c>
      <c r="H13" s="3"/>
      <c r="I13" s="3"/>
      <c r="J13" s="3"/>
      <c r="K13" s="3">
        <v>1001</v>
      </c>
      <c r="L13" s="80">
        <f>SUM(H13:K13)</f>
        <v>1001</v>
      </c>
      <c r="M13" s="3"/>
      <c r="N13" s="3"/>
      <c r="O13" s="3"/>
      <c r="P13" s="3"/>
      <c r="Q13" s="80">
        <f>SUM(M13:P13)</f>
        <v>0</v>
      </c>
      <c r="R13" s="3"/>
      <c r="S13" s="3"/>
      <c r="T13" s="3"/>
      <c r="U13" s="3">
        <v>23</v>
      </c>
      <c r="V13" s="80">
        <f>SUM(R13:U13)</f>
        <v>23</v>
      </c>
      <c r="W13" s="3"/>
      <c r="X13" s="3"/>
      <c r="Y13" s="3"/>
      <c r="Z13" s="3"/>
      <c r="AA13" s="80">
        <f>SUM(W13:Z13)</f>
        <v>0</v>
      </c>
      <c r="AB13" s="3"/>
      <c r="AC13" s="3"/>
      <c r="AD13" s="3"/>
      <c r="AE13" s="3"/>
      <c r="AF13" s="80">
        <f>SUM(AB13:AE13)</f>
        <v>0</v>
      </c>
      <c r="AG13" s="3"/>
      <c r="AH13" s="3"/>
      <c r="AI13" s="3"/>
      <c r="AJ13" s="3"/>
      <c r="AK13" s="80">
        <f>SUM(AG13:AJ13)</f>
        <v>0</v>
      </c>
      <c r="AL13" s="3"/>
      <c r="AM13" s="3"/>
      <c r="AN13" s="3"/>
      <c r="AO13" s="84">
        <v>631</v>
      </c>
      <c r="AP13" s="80">
        <f>SUM(AL13:AO13)</f>
        <v>631</v>
      </c>
      <c r="AQ13" s="3"/>
      <c r="AR13" s="3"/>
      <c r="AS13" s="3"/>
      <c r="AT13" s="3"/>
      <c r="AU13" s="80">
        <f>SUM(AQ13:AT13)</f>
        <v>0</v>
      </c>
      <c r="AV13" s="3"/>
      <c r="AW13" s="3"/>
      <c r="AX13" s="3"/>
      <c r="AY13" s="3">
        <v>400</v>
      </c>
      <c r="AZ13" s="80">
        <f t="shared" si="19"/>
        <v>400</v>
      </c>
      <c r="BA13" s="3"/>
      <c r="BB13" s="3"/>
      <c r="BC13" s="3"/>
      <c r="BD13" s="128">
        <v>402</v>
      </c>
      <c r="BE13" s="80">
        <f t="shared" si="20"/>
        <v>402</v>
      </c>
      <c r="BF13" s="3"/>
      <c r="BG13" s="3"/>
      <c r="BH13" s="3"/>
      <c r="BI13" s="3"/>
      <c r="BJ13" s="80">
        <f t="shared" si="21"/>
        <v>0</v>
      </c>
      <c r="BK13" s="12">
        <f>G13+L13+Q13+V13+AA13+AF13+AK13+AP13+AU13+AZ13+BE13+BJ13</f>
        <v>2757</v>
      </c>
      <c r="BL13" s="3"/>
      <c r="BM13" s="3"/>
      <c r="BN13" s="3"/>
      <c r="BO13" s="3">
        <v>459</v>
      </c>
      <c r="BP13" s="80">
        <f t="shared" si="0"/>
        <v>459</v>
      </c>
      <c r="BQ13" s="3"/>
      <c r="BR13" s="3"/>
      <c r="BS13" s="3"/>
      <c r="BT13" s="3">
        <v>288</v>
      </c>
      <c r="BU13" s="80">
        <f t="shared" si="23"/>
        <v>288</v>
      </c>
      <c r="BV13" s="3"/>
      <c r="BW13" s="3"/>
      <c r="BX13" s="3"/>
      <c r="BY13" s="3">
        <v>400</v>
      </c>
      <c r="BZ13" s="80">
        <f t="shared" si="1"/>
        <v>400</v>
      </c>
      <c r="CA13" s="3"/>
      <c r="CB13" s="3"/>
      <c r="CC13" s="3"/>
      <c r="CD13" s="3"/>
      <c r="CE13" s="80">
        <f t="shared" si="2"/>
        <v>0</v>
      </c>
      <c r="CF13" s="3"/>
      <c r="CG13" s="3"/>
      <c r="CH13" s="3"/>
      <c r="CI13" s="3"/>
      <c r="CJ13" s="80">
        <f t="shared" si="3"/>
        <v>0</v>
      </c>
      <c r="CK13" s="3"/>
      <c r="CL13" s="3"/>
      <c r="CM13" s="3"/>
      <c r="CN13" s="3"/>
      <c r="CO13" s="80">
        <f t="shared" si="4"/>
        <v>0</v>
      </c>
      <c r="CP13" s="3">
        <v>200</v>
      </c>
      <c r="CQ13" s="3"/>
      <c r="CR13" s="3"/>
      <c r="CS13" s="3"/>
      <c r="CT13" s="80">
        <f t="shared" si="24"/>
        <v>200</v>
      </c>
      <c r="CV13" s="3">
        <v>200</v>
      </c>
      <c r="CW13" s="3"/>
      <c r="CX13" s="3"/>
      <c r="CY13" s="80">
        <f t="shared" si="25"/>
        <v>200</v>
      </c>
      <c r="DA13" s="3"/>
      <c r="DB13" s="3"/>
      <c r="DC13" s="3">
        <v>250</v>
      </c>
      <c r="DD13" s="80">
        <f t="shared" si="5"/>
        <v>250</v>
      </c>
      <c r="DF13" s="3"/>
      <c r="DG13" s="3"/>
      <c r="DH13" s="3">
        <v>250</v>
      </c>
      <c r="DI13" s="80">
        <f t="shared" si="6"/>
        <v>250</v>
      </c>
      <c r="DK13" s="3"/>
      <c r="DL13" s="3"/>
      <c r="DM13" s="3"/>
      <c r="DN13" s="80">
        <f t="shared" si="7"/>
        <v>0</v>
      </c>
      <c r="DP13" s="3">
        <v>200</v>
      </c>
      <c r="DQ13" s="3"/>
      <c r="DR13" s="3"/>
      <c r="DS13" s="80">
        <f t="shared" si="8"/>
        <v>200</v>
      </c>
      <c r="DT13" s="12">
        <f>BP13+BU13+BZ13+CE13+CJ13+CO13+CT13+CY13+DD13+DI13+DN13+DS13</f>
        <v>2247</v>
      </c>
      <c r="DU13" s="3">
        <v>200</v>
      </c>
      <c r="DV13" s="3"/>
      <c r="DW13" s="3"/>
      <c r="DX13" s="3"/>
      <c r="DY13" s="80">
        <f t="shared" si="26"/>
        <v>200</v>
      </c>
      <c r="DZ13" s="3">
        <v>200</v>
      </c>
      <c r="EA13" s="3"/>
      <c r="EB13" s="3"/>
      <c r="EC13" s="3"/>
      <c r="ED13" s="80">
        <f t="shared" si="27"/>
        <v>200</v>
      </c>
      <c r="EE13" s="3">
        <v>204</v>
      </c>
      <c r="EF13" s="3"/>
      <c r="EG13" s="3"/>
      <c r="EH13" s="3"/>
      <c r="EI13" s="80">
        <f t="shared" si="28"/>
        <v>204</v>
      </c>
      <c r="EJ13" s="3">
        <v>306</v>
      </c>
      <c r="EK13" s="3"/>
      <c r="EL13" s="3"/>
      <c r="EM13" s="3"/>
      <c r="EN13" s="80">
        <f t="shared" si="29"/>
        <v>306</v>
      </c>
      <c r="EO13" s="3">
        <v>306</v>
      </c>
      <c r="EP13" s="3"/>
      <c r="EQ13" s="3"/>
      <c r="ER13" s="3"/>
      <c r="ES13" s="80">
        <f t="shared" si="30"/>
        <v>306</v>
      </c>
      <c r="ET13" s="3">
        <v>306</v>
      </c>
      <c r="EU13" s="3"/>
      <c r="EV13" s="3"/>
      <c r="EW13" s="3"/>
      <c r="EX13" s="80">
        <f t="shared" si="31"/>
        <v>306</v>
      </c>
      <c r="EY13" s="3">
        <v>306</v>
      </c>
      <c r="EZ13" s="3"/>
      <c r="FA13" s="3"/>
      <c r="FB13" s="3"/>
      <c r="FC13" s="80">
        <f t="shared" si="32"/>
        <v>306</v>
      </c>
      <c r="FD13" s="3">
        <v>306</v>
      </c>
      <c r="FE13" s="3"/>
      <c r="FF13" s="3"/>
      <c r="FG13" s="3"/>
      <c r="FH13" s="80">
        <f t="shared" si="33"/>
        <v>306</v>
      </c>
      <c r="FI13" s="3">
        <v>306</v>
      </c>
      <c r="FJ13" s="3"/>
      <c r="FK13" s="3"/>
      <c r="FL13" s="3"/>
      <c r="FM13" s="80">
        <f t="shared" si="34"/>
        <v>306</v>
      </c>
      <c r="FN13" s="3">
        <v>306</v>
      </c>
      <c r="FO13" s="3"/>
      <c r="FP13" s="3"/>
      <c r="FQ13" s="3"/>
      <c r="FR13" s="80">
        <f t="shared" si="35"/>
        <v>306</v>
      </c>
      <c r="FS13" s="3">
        <v>255</v>
      </c>
      <c r="FT13" s="3"/>
      <c r="FU13" s="3"/>
      <c r="FV13" s="3"/>
      <c r="FW13" s="80">
        <f t="shared" si="36"/>
        <v>255</v>
      </c>
      <c r="FX13" s="3">
        <v>255</v>
      </c>
      <c r="FY13" s="3"/>
      <c r="FZ13" s="3"/>
      <c r="GA13" s="3"/>
      <c r="GB13" s="80">
        <f t="shared" si="37"/>
        <v>255</v>
      </c>
      <c r="GC13" s="12">
        <f>DU13+ED13+EI13+EN13+ES13+EX13+FC13+FH13+FM13+FR13+FW13+GB13</f>
        <v>3256</v>
      </c>
    </row>
    <row r="14" spans="1:185" x14ac:dyDescent="0.35">
      <c r="A14" s="1" t="s">
        <v>16</v>
      </c>
      <c r="B14" s="1" t="s">
        <v>17</v>
      </c>
      <c r="G14" s="80">
        <f t="shared" si="10"/>
        <v>0</v>
      </c>
      <c r="H14" s="3"/>
      <c r="I14" s="3"/>
      <c r="J14" s="3"/>
      <c r="K14" s="3"/>
      <c r="L14" s="80">
        <f t="shared" si="11"/>
        <v>0</v>
      </c>
      <c r="M14" s="3"/>
      <c r="N14" s="3"/>
      <c r="O14" s="3"/>
      <c r="P14" s="3"/>
      <c r="Q14" s="80">
        <f t="shared" si="12"/>
        <v>0</v>
      </c>
      <c r="R14" s="3"/>
      <c r="S14" s="3"/>
      <c r="T14" s="3"/>
      <c r="U14" s="3"/>
      <c r="V14" s="80">
        <f t="shared" si="13"/>
        <v>0</v>
      </c>
      <c r="W14" s="3"/>
      <c r="X14" s="3"/>
      <c r="Y14" s="3"/>
      <c r="Z14" s="3"/>
      <c r="AA14" s="80">
        <f t="shared" si="14"/>
        <v>0</v>
      </c>
      <c r="AB14" s="3"/>
      <c r="AC14" s="3"/>
      <c r="AD14" s="3"/>
      <c r="AE14" s="3"/>
      <c r="AF14" s="80">
        <f t="shared" si="15"/>
        <v>0</v>
      </c>
      <c r="AG14" s="3"/>
      <c r="AH14" s="3"/>
      <c r="AI14" s="3"/>
      <c r="AJ14" s="3"/>
      <c r="AK14" s="80">
        <f t="shared" si="16"/>
        <v>0</v>
      </c>
      <c r="AL14" s="3"/>
      <c r="AM14" s="3"/>
      <c r="AN14" s="3"/>
      <c r="AO14" s="3"/>
      <c r="AP14" s="80">
        <f t="shared" si="17"/>
        <v>0</v>
      </c>
      <c r="AQ14" s="3"/>
      <c r="AR14" s="3"/>
      <c r="AS14" s="3"/>
      <c r="AT14" s="3"/>
      <c r="AU14" s="80">
        <f t="shared" si="18"/>
        <v>0</v>
      </c>
      <c r="AV14" s="3"/>
      <c r="AW14" s="3"/>
      <c r="AX14" s="3"/>
      <c r="AY14" s="3"/>
      <c r="AZ14" s="80">
        <f t="shared" si="19"/>
        <v>0</v>
      </c>
      <c r="BA14" s="3"/>
      <c r="BB14" s="3"/>
      <c r="BC14" s="3"/>
      <c r="BD14" s="3"/>
      <c r="BE14" s="80">
        <f t="shared" si="20"/>
        <v>0</v>
      </c>
      <c r="BF14" s="3"/>
      <c r="BG14" s="3"/>
      <c r="BH14" s="3"/>
      <c r="BI14" s="3"/>
      <c r="BJ14" s="80">
        <f t="shared" si="21"/>
        <v>0</v>
      </c>
      <c r="BK14" s="12">
        <f t="shared" si="22"/>
        <v>0</v>
      </c>
      <c r="BL14" s="3" t="s">
        <v>47</v>
      </c>
      <c r="BM14" s="3"/>
      <c r="BN14" s="3"/>
      <c r="BO14" s="3"/>
      <c r="BP14" s="80">
        <f t="shared" si="0"/>
        <v>0</v>
      </c>
      <c r="BQ14" s="3" t="s">
        <v>47</v>
      </c>
      <c r="BR14" s="3"/>
      <c r="BS14" s="3"/>
      <c r="BT14" s="3"/>
      <c r="BU14" s="80">
        <f t="shared" si="23"/>
        <v>0</v>
      </c>
      <c r="BV14" s="3" t="s">
        <v>47</v>
      </c>
      <c r="BW14" s="3"/>
      <c r="BX14" s="3"/>
      <c r="BY14" s="3"/>
      <c r="BZ14" s="80">
        <f t="shared" si="1"/>
        <v>0</v>
      </c>
      <c r="CA14" s="3"/>
      <c r="CB14" s="3"/>
      <c r="CC14" s="3"/>
      <c r="CD14" s="3"/>
      <c r="CE14" s="80">
        <f t="shared" si="2"/>
        <v>0</v>
      </c>
      <c r="CF14" s="3" t="s">
        <v>47</v>
      </c>
      <c r="CG14" s="3"/>
      <c r="CH14" s="3"/>
      <c r="CI14" s="3"/>
      <c r="CJ14" s="80">
        <f t="shared" si="3"/>
        <v>0</v>
      </c>
      <c r="CK14" s="3" t="s">
        <v>47</v>
      </c>
      <c r="CL14" s="3"/>
      <c r="CM14" s="3"/>
      <c r="CN14" s="3"/>
      <c r="CO14" s="80">
        <f t="shared" si="4"/>
        <v>0</v>
      </c>
      <c r="CP14" s="3" t="s">
        <v>47</v>
      </c>
      <c r="CQ14" s="3"/>
      <c r="CR14" s="3"/>
      <c r="CS14" s="3"/>
      <c r="CT14" s="80">
        <f t="shared" si="24"/>
        <v>0</v>
      </c>
      <c r="CU14" s="3" t="s">
        <v>47</v>
      </c>
      <c r="CV14" s="3"/>
      <c r="CW14" s="3"/>
      <c r="CX14" s="3"/>
      <c r="CY14" s="80">
        <f t="shared" si="25"/>
        <v>0</v>
      </c>
      <c r="CZ14" s="3" t="s">
        <v>47</v>
      </c>
      <c r="DA14" s="3"/>
      <c r="DB14" s="3"/>
      <c r="DC14" s="3"/>
      <c r="DD14" s="80">
        <f t="shared" si="5"/>
        <v>0</v>
      </c>
      <c r="DE14" s="3" t="s">
        <v>47</v>
      </c>
      <c r="DF14" s="3"/>
      <c r="DG14" s="3"/>
      <c r="DH14" s="3"/>
      <c r="DI14" s="80">
        <f t="shared" si="6"/>
        <v>0</v>
      </c>
      <c r="DJ14" s="3" t="s">
        <v>47</v>
      </c>
      <c r="DK14" s="3"/>
      <c r="DL14" s="3"/>
      <c r="DM14" s="3"/>
      <c r="DN14" s="80">
        <f t="shared" si="7"/>
        <v>0</v>
      </c>
      <c r="DO14" s="3" t="s">
        <v>47</v>
      </c>
      <c r="DP14" s="3"/>
      <c r="DQ14" s="3"/>
      <c r="DR14" s="3"/>
      <c r="DS14" s="80">
        <f t="shared" si="8"/>
        <v>0</v>
      </c>
      <c r="DT14" s="12">
        <f t="shared" si="9"/>
        <v>0</v>
      </c>
      <c r="DU14" s="3">
        <v>0</v>
      </c>
      <c r="DV14" s="3"/>
      <c r="DW14" s="3"/>
      <c r="DX14" s="3"/>
      <c r="DY14" s="80">
        <f t="shared" si="26"/>
        <v>0</v>
      </c>
      <c r="DZ14" s="3">
        <v>0</v>
      </c>
      <c r="EA14" s="3"/>
      <c r="EB14" s="3"/>
      <c r="EC14" s="3"/>
      <c r="ED14" s="80">
        <f t="shared" si="27"/>
        <v>0</v>
      </c>
      <c r="EE14" s="3">
        <v>0</v>
      </c>
      <c r="EF14" s="3"/>
      <c r="EG14" s="3"/>
      <c r="EH14" s="3"/>
      <c r="EI14" s="80">
        <f t="shared" si="28"/>
        <v>0</v>
      </c>
      <c r="EJ14" s="3">
        <v>0</v>
      </c>
      <c r="EK14" s="3"/>
      <c r="EL14" s="3"/>
      <c r="EM14" s="3"/>
      <c r="EN14" s="80">
        <f t="shared" si="29"/>
        <v>0</v>
      </c>
      <c r="EO14" s="3">
        <v>0</v>
      </c>
      <c r="EP14" s="3"/>
      <c r="EQ14" s="3"/>
      <c r="ER14" s="3"/>
      <c r="ES14" s="80">
        <f t="shared" si="30"/>
        <v>0</v>
      </c>
      <c r="ET14" s="3">
        <v>0</v>
      </c>
      <c r="EU14" s="3"/>
      <c r="EV14" s="3"/>
      <c r="EW14" s="3"/>
      <c r="EX14" s="80">
        <f t="shared" si="31"/>
        <v>0</v>
      </c>
      <c r="EY14" s="3">
        <v>0</v>
      </c>
      <c r="EZ14" s="3"/>
      <c r="FA14" s="3"/>
      <c r="FB14" s="3"/>
      <c r="FC14" s="80">
        <f t="shared" si="32"/>
        <v>0</v>
      </c>
      <c r="FD14" s="3">
        <v>0</v>
      </c>
      <c r="FE14" s="3"/>
      <c r="FF14" s="3"/>
      <c r="FG14" s="3"/>
      <c r="FH14" s="80">
        <f t="shared" si="33"/>
        <v>0</v>
      </c>
      <c r="FI14" s="3">
        <v>0</v>
      </c>
      <c r="FJ14" s="3"/>
      <c r="FK14" s="3"/>
      <c r="FL14" s="3"/>
      <c r="FM14" s="80">
        <f t="shared" si="34"/>
        <v>0</v>
      </c>
      <c r="FN14" s="3">
        <v>0</v>
      </c>
      <c r="FO14" s="3"/>
      <c r="FP14" s="3"/>
      <c r="FQ14" s="3"/>
      <c r="FR14" s="80">
        <f t="shared" si="35"/>
        <v>0</v>
      </c>
      <c r="FS14" s="3">
        <v>0</v>
      </c>
      <c r="FT14" s="3"/>
      <c r="FU14" s="3"/>
      <c r="FV14" s="3"/>
      <c r="FW14" s="80">
        <f t="shared" si="36"/>
        <v>0</v>
      </c>
      <c r="FX14" s="3">
        <v>0</v>
      </c>
      <c r="FY14" s="3"/>
      <c r="FZ14" s="3"/>
      <c r="GA14" s="3"/>
      <c r="GB14" s="80">
        <f t="shared" si="37"/>
        <v>0</v>
      </c>
      <c r="GC14" s="12">
        <f t="shared" ref="GC14:GC32" si="39">DU14+ED14+EI14+EN14+ES14+EX14+FC14+FH14+FM14+FR14+FW14+GB14</f>
        <v>0</v>
      </c>
    </row>
    <row r="15" spans="1:185" x14ac:dyDescent="0.35">
      <c r="A15" s="1" t="s">
        <v>16</v>
      </c>
      <c r="B15" s="1" t="s">
        <v>21</v>
      </c>
      <c r="G15" s="80">
        <f t="shared" si="10"/>
        <v>0</v>
      </c>
      <c r="H15" s="3"/>
      <c r="I15" s="3"/>
      <c r="J15" s="3"/>
      <c r="K15" s="3"/>
      <c r="L15" s="80">
        <f t="shared" si="11"/>
        <v>0</v>
      </c>
      <c r="M15" s="3"/>
      <c r="N15" s="3"/>
      <c r="O15" s="3"/>
      <c r="P15" s="3">
        <v>174</v>
      </c>
      <c r="Q15" s="80">
        <f t="shared" si="12"/>
        <v>174</v>
      </c>
      <c r="R15" s="3"/>
      <c r="S15" s="3"/>
      <c r="T15" s="3"/>
      <c r="U15" s="3"/>
      <c r="V15" s="80">
        <f t="shared" si="13"/>
        <v>0</v>
      </c>
      <c r="W15" s="3"/>
      <c r="X15" s="3"/>
      <c r="Y15" s="3"/>
      <c r="Z15" s="3"/>
      <c r="AA15" s="80">
        <f t="shared" si="14"/>
        <v>0</v>
      </c>
      <c r="AB15" s="3"/>
      <c r="AC15" s="3"/>
      <c r="AD15" s="3"/>
      <c r="AE15" s="3"/>
      <c r="AF15" s="80">
        <f t="shared" si="15"/>
        <v>0</v>
      </c>
      <c r="AG15" s="3"/>
      <c r="AH15" s="3"/>
      <c r="AI15" s="3"/>
      <c r="AJ15" s="3"/>
      <c r="AK15" s="80">
        <f t="shared" si="16"/>
        <v>0</v>
      </c>
      <c r="AL15" s="3"/>
      <c r="AM15" s="3"/>
      <c r="AN15" s="3"/>
      <c r="AO15" s="3"/>
      <c r="AP15" s="80">
        <f t="shared" si="17"/>
        <v>0</v>
      </c>
      <c r="AQ15" s="3"/>
      <c r="AR15" s="3">
        <v>163</v>
      </c>
      <c r="AS15" s="3"/>
      <c r="AT15" s="3"/>
      <c r="AU15" s="80">
        <f t="shared" si="18"/>
        <v>163</v>
      </c>
      <c r="AV15" s="3"/>
      <c r="AW15" s="3"/>
      <c r="AX15" s="3"/>
      <c r="AY15" s="3"/>
      <c r="AZ15" s="80">
        <f t="shared" si="19"/>
        <v>0</v>
      </c>
      <c r="BA15" s="3"/>
      <c r="BB15" s="3"/>
      <c r="BC15" s="3"/>
      <c r="BD15" s="3"/>
      <c r="BE15" s="80">
        <f t="shared" si="20"/>
        <v>0</v>
      </c>
      <c r="BF15" s="3"/>
      <c r="BG15" s="3"/>
      <c r="BH15" s="3"/>
      <c r="BI15" s="3"/>
      <c r="BJ15" s="80">
        <f t="shared" si="21"/>
        <v>0</v>
      </c>
      <c r="BK15" s="12">
        <f t="shared" si="22"/>
        <v>337</v>
      </c>
      <c r="BL15" s="3"/>
      <c r="BN15" s="3">
        <v>284</v>
      </c>
      <c r="BO15" s="3"/>
      <c r="BP15" s="80">
        <f t="shared" si="0"/>
        <v>284</v>
      </c>
      <c r="BQ15" s="3"/>
      <c r="BR15" s="3"/>
      <c r="BS15" s="3"/>
      <c r="BT15" s="3"/>
      <c r="BU15" s="80">
        <f t="shared" si="23"/>
        <v>0</v>
      </c>
      <c r="BW15" s="3">
        <v>100</v>
      </c>
      <c r="BX15" s="3"/>
      <c r="BY15" s="3"/>
      <c r="BZ15" s="80">
        <f>SUM(BW15:BY15)</f>
        <v>100</v>
      </c>
      <c r="CB15" s="3" t="s">
        <v>72</v>
      </c>
      <c r="CC15" s="3"/>
      <c r="CD15" s="3"/>
      <c r="CE15" s="80">
        <f t="shared" si="2"/>
        <v>0</v>
      </c>
      <c r="CG15" s="3"/>
      <c r="CH15" s="3"/>
      <c r="CI15" s="3"/>
      <c r="CJ15" s="80">
        <f t="shared" si="3"/>
        <v>0</v>
      </c>
      <c r="CL15" s="3"/>
      <c r="CM15" s="3"/>
      <c r="CN15" s="3"/>
      <c r="CO15" s="80">
        <f t="shared" si="4"/>
        <v>0</v>
      </c>
      <c r="CQ15" s="3"/>
      <c r="CR15" s="3">
        <v>220</v>
      </c>
      <c r="CS15" s="3"/>
      <c r="CT15" s="80">
        <f t="shared" si="24"/>
        <v>220</v>
      </c>
      <c r="CU15" s="3"/>
      <c r="CV15" s="3"/>
      <c r="CW15" s="3"/>
      <c r="CX15" s="3"/>
      <c r="CY15" s="80">
        <f t="shared" si="25"/>
        <v>0</v>
      </c>
      <c r="DA15" s="3"/>
      <c r="DB15" s="3"/>
      <c r="DC15" s="3"/>
      <c r="DD15" s="80">
        <f t="shared" si="5"/>
        <v>0</v>
      </c>
      <c r="DE15" s="3"/>
      <c r="DF15" s="3"/>
      <c r="DG15" s="3"/>
      <c r="DH15" s="3"/>
      <c r="DI15" s="80">
        <f t="shared" si="6"/>
        <v>0</v>
      </c>
      <c r="DL15" s="3">
        <v>0</v>
      </c>
      <c r="DM15" s="3"/>
      <c r="DN15" s="80">
        <f t="shared" si="7"/>
        <v>0</v>
      </c>
      <c r="DO15" s="3"/>
      <c r="DP15" s="3"/>
      <c r="DQ15" s="3"/>
      <c r="DR15" s="3"/>
      <c r="DS15" s="80">
        <f t="shared" si="8"/>
        <v>0</v>
      </c>
      <c r="DT15" s="12">
        <f t="shared" si="9"/>
        <v>604</v>
      </c>
      <c r="DU15" s="3">
        <v>150</v>
      </c>
      <c r="DV15" s="3"/>
      <c r="DW15" s="3"/>
      <c r="DX15" s="3"/>
      <c r="DY15" s="80">
        <f t="shared" si="26"/>
        <v>150</v>
      </c>
      <c r="DZ15" s="3">
        <v>75</v>
      </c>
      <c r="EA15" s="3"/>
      <c r="EB15" s="3"/>
      <c r="EC15" s="3"/>
      <c r="ED15" s="80">
        <f t="shared" si="27"/>
        <v>75</v>
      </c>
      <c r="EE15" s="3">
        <v>51</v>
      </c>
      <c r="EF15" s="3"/>
      <c r="EG15" s="3"/>
      <c r="EH15" s="3"/>
      <c r="EI15" s="80">
        <f t="shared" si="28"/>
        <v>51</v>
      </c>
      <c r="EJ15" s="3">
        <v>61.2</v>
      </c>
      <c r="EK15" s="3"/>
      <c r="EL15" s="3"/>
      <c r="EM15" s="3"/>
      <c r="EN15" s="80">
        <f t="shared" si="29"/>
        <v>61.2</v>
      </c>
      <c r="EO15" s="3">
        <v>61.2</v>
      </c>
      <c r="EP15" s="3"/>
      <c r="EQ15" s="3"/>
      <c r="ER15" s="3"/>
      <c r="ES15" s="80">
        <f t="shared" si="30"/>
        <v>61.2</v>
      </c>
      <c r="ET15" s="3">
        <v>61.2</v>
      </c>
      <c r="EU15" s="3"/>
      <c r="EV15" s="3"/>
      <c r="EW15" s="3"/>
      <c r="EX15" s="80">
        <f t="shared" si="31"/>
        <v>61.2</v>
      </c>
      <c r="EY15" s="3">
        <v>61.2</v>
      </c>
      <c r="EZ15" s="3"/>
      <c r="FA15" s="3"/>
      <c r="FB15" s="3"/>
      <c r="FC15" s="80">
        <f t="shared" si="32"/>
        <v>61.2</v>
      </c>
      <c r="FD15" s="3">
        <v>61.2</v>
      </c>
      <c r="FE15" s="3"/>
      <c r="FF15" s="3"/>
      <c r="FG15" s="3"/>
      <c r="FH15" s="80">
        <f t="shared" si="33"/>
        <v>61.2</v>
      </c>
      <c r="FI15" s="3">
        <v>30.6</v>
      </c>
      <c r="FJ15" s="3"/>
      <c r="FK15" s="3"/>
      <c r="FL15" s="3"/>
      <c r="FM15" s="80">
        <f t="shared" si="34"/>
        <v>30.6</v>
      </c>
      <c r="FN15" s="3">
        <v>30.6</v>
      </c>
      <c r="FO15" s="3"/>
      <c r="FP15" s="3"/>
      <c r="FQ15" s="3"/>
      <c r="FR15" s="80">
        <f t="shared" si="35"/>
        <v>30.6</v>
      </c>
      <c r="FS15" s="3">
        <v>30.6</v>
      </c>
      <c r="FT15" s="3"/>
      <c r="FU15" s="3"/>
      <c r="FV15" s="3"/>
      <c r="FW15" s="80">
        <f t="shared" si="36"/>
        <v>30.6</v>
      </c>
      <c r="FX15" s="3">
        <v>30.6</v>
      </c>
      <c r="FY15" s="3"/>
      <c r="FZ15" s="3"/>
      <c r="GA15" s="3"/>
      <c r="GB15" s="80">
        <f t="shared" si="37"/>
        <v>30.6</v>
      </c>
      <c r="GC15" s="12">
        <f t="shared" si="39"/>
        <v>704.40000000000009</v>
      </c>
    </row>
    <row r="16" spans="1:185" x14ac:dyDescent="0.35">
      <c r="A16" s="1" t="s">
        <v>16</v>
      </c>
      <c r="B16" s="1" t="s">
        <v>22</v>
      </c>
      <c r="G16" s="80">
        <f t="shared" si="10"/>
        <v>0</v>
      </c>
      <c r="H16" s="3"/>
      <c r="I16" s="3"/>
      <c r="J16" s="3"/>
      <c r="K16" s="3"/>
      <c r="L16" s="80">
        <f t="shared" si="11"/>
        <v>0</v>
      </c>
      <c r="M16" s="3"/>
      <c r="N16" s="3"/>
      <c r="O16" s="3"/>
      <c r="P16" s="3"/>
      <c r="Q16" s="80">
        <f t="shared" si="12"/>
        <v>0</v>
      </c>
      <c r="R16" s="3"/>
      <c r="S16" s="3"/>
      <c r="T16" s="3"/>
      <c r="U16" s="3"/>
      <c r="V16" s="80">
        <f t="shared" si="13"/>
        <v>0</v>
      </c>
      <c r="W16" s="3"/>
      <c r="X16" s="3"/>
      <c r="Y16" s="3"/>
      <c r="Z16" s="3"/>
      <c r="AA16" s="80">
        <f t="shared" si="14"/>
        <v>0</v>
      </c>
      <c r="AB16" s="3"/>
      <c r="AC16" s="3"/>
      <c r="AD16" s="3"/>
      <c r="AE16" s="3"/>
      <c r="AF16" s="80">
        <f t="shared" si="15"/>
        <v>0</v>
      </c>
      <c r="AG16" s="3"/>
      <c r="AH16" s="3"/>
      <c r="AI16" s="3"/>
      <c r="AJ16" s="3"/>
      <c r="AK16" s="80">
        <f t="shared" si="16"/>
        <v>0</v>
      </c>
      <c r="AL16" s="3"/>
      <c r="AM16" s="3"/>
      <c r="AN16" s="3"/>
      <c r="AO16" s="3"/>
      <c r="AP16" s="80">
        <f t="shared" si="17"/>
        <v>0</v>
      </c>
      <c r="AQ16" s="3"/>
      <c r="AR16" s="3"/>
      <c r="AS16" s="3"/>
      <c r="AT16" s="3"/>
      <c r="AU16" s="80">
        <f t="shared" si="18"/>
        <v>0</v>
      </c>
      <c r="AV16" s="3"/>
      <c r="AW16" s="3"/>
      <c r="AX16" s="3"/>
      <c r="AY16" s="3"/>
      <c r="AZ16" s="80">
        <f t="shared" si="19"/>
        <v>0</v>
      </c>
      <c r="BA16" s="3"/>
      <c r="BB16" s="3"/>
      <c r="BC16" s="3"/>
      <c r="BD16" s="3"/>
      <c r="BE16" s="80">
        <f t="shared" si="20"/>
        <v>0</v>
      </c>
      <c r="BF16" s="3"/>
      <c r="BG16" s="3"/>
      <c r="BH16" s="3"/>
      <c r="BI16" s="3"/>
      <c r="BJ16" s="80">
        <f t="shared" si="21"/>
        <v>0</v>
      </c>
      <c r="BK16" s="12">
        <f t="shared" si="22"/>
        <v>0</v>
      </c>
      <c r="BL16" s="3" t="s">
        <v>47</v>
      </c>
      <c r="BN16" s="3"/>
      <c r="BO16" s="3"/>
      <c r="BP16" s="80">
        <f t="shared" si="0"/>
        <v>0</v>
      </c>
      <c r="BQ16" s="3" t="s">
        <v>47</v>
      </c>
      <c r="BR16" s="3"/>
      <c r="BS16" s="3"/>
      <c r="BT16" s="3"/>
      <c r="BU16" s="80">
        <f t="shared" si="23"/>
        <v>0</v>
      </c>
      <c r="BV16" s="3" t="s">
        <v>47</v>
      </c>
      <c r="BW16" s="3"/>
      <c r="BX16" s="3"/>
      <c r="BY16" s="3"/>
      <c r="BZ16" s="80">
        <f t="shared" si="1"/>
        <v>0</v>
      </c>
      <c r="CB16" s="3"/>
      <c r="CC16" s="3" t="s">
        <v>47</v>
      </c>
      <c r="CD16" s="3"/>
      <c r="CE16" s="80">
        <f t="shared" si="2"/>
        <v>0</v>
      </c>
      <c r="CG16" s="3"/>
      <c r="CH16" s="3" t="s">
        <v>47</v>
      </c>
      <c r="CI16" s="3"/>
      <c r="CJ16" s="80">
        <f t="shared" si="3"/>
        <v>0</v>
      </c>
      <c r="CL16" s="3"/>
      <c r="CM16" s="3" t="s">
        <v>47</v>
      </c>
      <c r="CN16" s="3"/>
      <c r="CO16" s="80">
        <f t="shared" si="4"/>
        <v>0</v>
      </c>
      <c r="CQ16" s="3"/>
      <c r="CR16" s="3" t="s">
        <v>47</v>
      </c>
      <c r="CS16" s="3"/>
      <c r="CT16" s="80">
        <f t="shared" si="24"/>
        <v>0</v>
      </c>
      <c r="CU16" s="3" t="s">
        <v>47</v>
      </c>
      <c r="CV16" s="3"/>
      <c r="CW16" s="3"/>
      <c r="CX16" s="3"/>
      <c r="CY16" s="80">
        <f t="shared" si="25"/>
        <v>0</v>
      </c>
      <c r="DA16" s="3"/>
      <c r="DB16" s="3" t="s">
        <v>47</v>
      </c>
      <c r="DC16" s="3"/>
      <c r="DD16" s="80">
        <f t="shared" si="5"/>
        <v>0</v>
      </c>
      <c r="DE16" s="3" t="s">
        <v>47</v>
      </c>
      <c r="DF16" s="3"/>
      <c r="DG16" s="3"/>
      <c r="DH16" s="3"/>
      <c r="DI16" s="80">
        <f t="shared" si="6"/>
        <v>0</v>
      </c>
      <c r="DL16" s="3" t="s">
        <v>47</v>
      </c>
      <c r="DM16" s="3"/>
      <c r="DN16" s="80">
        <f t="shared" si="7"/>
        <v>0</v>
      </c>
      <c r="DO16" s="3" t="s">
        <v>47</v>
      </c>
      <c r="DP16" s="3"/>
      <c r="DQ16" s="3"/>
      <c r="DR16" s="3"/>
      <c r="DS16" s="80">
        <f t="shared" si="8"/>
        <v>0</v>
      </c>
      <c r="DT16" s="12">
        <f t="shared" si="9"/>
        <v>0</v>
      </c>
      <c r="DU16" s="3">
        <v>0</v>
      </c>
      <c r="DV16" s="3"/>
      <c r="DW16" s="3"/>
      <c r="DX16" s="3"/>
      <c r="DY16" s="80">
        <f t="shared" si="26"/>
        <v>0</v>
      </c>
      <c r="DZ16" s="3">
        <v>0</v>
      </c>
      <c r="EA16" s="3"/>
      <c r="EB16" s="3"/>
      <c r="EC16" s="3"/>
      <c r="ED16" s="80">
        <f t="shared" si="27"/>
        <v>0</v>
      </c>
      <c r="EE16" s="3">
        <v>0</v>
      </c>
      <c r="EF16" s="3"/>
      <c r="EG16" s="3"/>
      <c r="EH16" s="3"/>
      <c r="EI16" s="80">
        <f t="shared" si="28"/>
        <v>0</v>
      </c>
      <c r="EJ16" s="3">
        <v>0</v>
      </c>
      <c r="EK16" s="3"/>
      <c r="EL16" s="3"/>
      <c r="EM16" s="3"/>
      <c r="EN16" s="80">
        <f t="shared" si="29"/>
        <v>0</v>
      </c>
      <c r="EO16" s="3">
        <v>0</v>
      </c>
      <c r="EP16" s="3"/>
      <c r="EQ16" s="3"/>
      <c r="ER16" s="3"/>
      <c r="ES16" s="80">
        <f t="shared" si="30"/>
        <v>0</v>
      </c>
      <c r="ET16" s="3">
        <v>0</v>
      </c>
      <c r="EU16" s="3"/>
      <c r="EV16" s="3"/>
      <c r="EW16" s="3"/>
      <c r="EX16" s="80">
        <f t="shared" si="31"/>
        <v>0</v>
      </c>
      <c r="EY16" s="3">
        <v>0</v>
      </c>
      <c r="EZ16" s="3"/>
      <c r="FA16" s="3"/>
      <c r="FB16" s="3"/>
      <c r="FC16" s="80">
        <f t="shared" si="32"/>
        <v>0</v>
      </c>
      <c r="FD16" s="3">
        <v>0</v>
      </c>
      <c r="FE16" s="3"/>
      <c r="FF16" s="3"/>
      <c r="FG16" s="3"/>
      <c r="FH16" s="80">
        <f t="shared" si="33"/>
        <v>0</v>
      </c>
      <c r="FI16" s="3">
        <v>0</v>
      </c>
      <c r="FJ16" s="3"/>
      <c r="FK16" s="3"/>
      <c r="FL16" s="3"/>
      <c r="FM16" s="80">
        <f t="shared" si="34"/>
        <v>0</v>
      </c>
      <c r="FN16" s="3">
        <v>0</v>
      </c>
      <c r="FO16" s="3"/>
      <c r="FP16" s="3"/>
      <c r="FQ16" s="3"/>
      <c r="FR16" s="80">
        <f t="shared" si="35"/>
        <v>0</v>
      </c>
      <c r="FS16" s="3">
        <v>0</v>
      </c>
      <c r="FT16" s="3"/>
      <c r="FU16" s="3"/>
      <c r="FV16" s="3"/>
      <c r="FW16" s="80">
        <f t="shared" si="36"/>
        <v>0</v>
      </c>
      <c r="FX16" s="3">
        <v>0</v>
      </c>
      <c r="FY16" s="3"/>
      <c r="FZ16" s="3"/>
      <c r="GA16" s="3"/>
      <c r="GB16" s="80">
        <f t="shared" si="37"/>
        <v>0</v>
      </c>
      <c r="GC16" s="12">
        <f t="shared" si="39"/>
        <v>0</v>
      </c>
    </row>
    <row r="17" spans="1:185" x14ac:dyDescent="0.35">
      <c r="A17" s="1" t="s">
        <v>16</v>
      </c>
      <c r="B17" s="1" t="s">
        <v>23</v>
      </c>
      <c r="G17" s="80">
        <f t="shared" si="10"/>
        <v>0</v>
      </c>
      <c r="H17" s="3"/>
      <c r="I17" s="3"/>
      <c r="J17" s="3"/>
      <c r="K17" s="3">
        <v>106</v>
      </c>
      <c r="L17" s="80">
        <f t="shared" si="11"/>
        <v>106</v>
      </c>
      <c r="M17" s="3"/>
      <c r="N17" s="3"/>
      <c r="O17" s="3"/>
      <c r="P17" s="3">
        <v>678</v>
      </c>
      <c r="Q17" s="80">
        <f t="shared" si="12"/>
        <v>678</v>
      </c>
      <c r="R17" s="3"/>
      <c r="S17" s="3"/>
      <c r="T17" s="3"/>
      <c r="U17" s="3"/>
      <c r="V17" s="80">
        <f t="shared" si="13"/>
        <v>0</v>
      </c>
      <c r="W17" s="3"/>
      <c r="X17" s="3"/>
      <c r="Y17" s="3"/>
      <c r="Z17" s="3"/>
      <c r="AA17" s="80">
        <f t="shared" si="14"/>
        <v>0</v>
      </c>
      <c r="AB17" s="3"/>
      <c r="AC17" s="3"/>
      <c r="AD17" s="3"/>
      <c r="AE17" s="3"/>
      <c r="AF17" s="80">
        <f t="shared" si="15"/>
        <v>0</v>
      </c>
      <c r="AG17" s="3"/>
      <c r="AH17" s="3"/>
      <c r="AI17" s="3"/>
      <c r="AJ17" s="3">
        <v>413</v>
      </c>
      <c r="AK17" s="80">
        <f t="shared" si="16"/>
        <v>413</v>
      </c>
      <c r="AL17" s="3"/>
      <c r="AM17" s="3"/>
      <c r="AN17" s="3">
        <v>601</v>
      </c>
      <c r="AO17" s="3"/>
      <c r="AP17" s="80">
        <f t="shared" si="17"/>
        <v>601</v>
      </c>
      <c r="AQ17" s="3"/>
      <c r="AR17" s="3">
        <v>334</v>
      </c>
      <c r="AS17" s="3"/>
      <c r="AT17" s="3"/>
      <c r="AU17" s="80">
        <f t="shared" si="18"/>
        <v>334</v>
      </c>
      <c r="AV17" s="3"/>
      <c r="AW17" s="3"/>
      <c r="AX17" s="3">
        <v>191</v>
      </c>
      <c r="AY17" s="3"/>
      <c r="AZ17" s="80">
        <f t="shared" si="19"/>
        <v>191</v>
      </c>
      <c r="BA17" s="3"/>
      <c r="BC17" s="128">
        <v>293</v>
      </c>
      <c r="BD17" s="3"/>
      <c r="BE17" s="80">
        <f t="shared" si="20"/>
        <v>293</v>
      </c>
      <c r="BF17" s="3"/>
      <c r="BG17" s="3"/>
      <c r="BH17" s="3"/>
      <c r="BI17" s="3"/>
      <c r="BJ17" s="80">
        <f t="shared" si="21"/>
        <v>0</v>
      </c>
      <c r="BK17" s="12">
        <f t="shared" si="22"/>
        <v>2616</v>
      </c>
      <c r="BL17" s="3" t="s">
        <v>48</v>
      </c>
      <c r="BN17" s="3"/>
      <c r="BO17" s="3"/>
      <c r="BP17" s="80">
        <f t="shared" si="0"/>
        <v>0</v>
      </c>
      <c r="BQ17" s="3"/>
      <c r="BR17" s="3"/>
      <c r="BS17" s="3">
        <v>237</v>
      </c>
      <c r="BT17" s="3"/>
      <c r="BU17" s="80">
        <f t="shared" si="23"/>
        <v>237</v>
      </c>
      <c r="BV17" s="3"/>
      <c r="BW17" s="3">
        <v>250</v>
      </c>
      <c r="BX17" s="3"/>
      <c r="BY17" s="3"/>
      <c r="BZ17" s="80">
        <f t="shared" si="1"/>
        <v>250</v>
      </c>
      <c r="CC17" s="3"/>
      <c r="CD17" s="3"/>
      <c r="CE17" s="80">
        <f t="shared" si="2"/>
        <v>0</v>
      </c>
      <c r="CG17" s="3"/>
      <c r="CH17" s="3">
        <v>300</v>
      </c>
      <c r="CI17" s="3"/>
      <c r="CJ17" s="80">
        <f t="shared" si="3"/>
        <v>300</v>
      </c>
      <c r="CL17" s="3"/>
      <c r="CM17" s="3">
        <v>300</v>
      </c>
      <c r="CN17" s="3"/>
      <c r="CO17" s="80">
        <f t="shared" si="4"/>
        <v>300</v>
      </c>
      <c r="CQ17" s="3"/>
      <c r="CR17" s="3">
        <v>250</v>
      </c>
      <c r="CS17" s="3"/>
      <c r="CT17" s="80">
        <f t="shared" si="24"/>
        <v>250</v>
      </c>
      <c r="CV17" s="3"/>
      <c r="CW17" s="3">
        <v>300</v>
      </c>
      <c r="CX17" s="3"/>
      <c r="CY17" s="80">
        <f t="shared" si="25"/>
        <v>300</v>
      </c>
      <c r="DA17" s="3"/>
      <c r="DB17" s="3">
        <v>250</v>
      </c>
      <c r="DC17" s="3"/>
      <c r="DD17" s="80">
        <f t="shared" si="5"/>
        <v>250</v>
      </c>
      <c r="DF17" s="3"/>
      <c r="DG17" s="3">
        <v>200</v>
      </c>
      <c r="DH17" s="3"/>
      <c r="DI17" s="80">
        <f t="shared" si="6"/>
        <v>200</v>
      </c>
      <c r="DL17" s="3">
        <v>150</v>
      </c>
      <c r="DM17" s="3"/>
      <c r="DN17" s="80">
        <f t="shared" si="7"/>
        <v>150</v>
      </c>
      <c r="DP17" s="3">
        <v>150</v>
      </c>
      <c r="DQ17" s="3"/>
      <c r="DR17" s="3"/>
      <c r="DS17" s="80">
        <f t="shared" si="8"/>
        <v>150</v>
      </c>
      <c r="DT17" s="12">
        <f t="shared" si="9"/>
        <v>2387</v>
      </c>
      <c r="DU17" s="3">
        <v>230</v>
      </c>
      <c r="DV17" s="3"/>
      <c r="DW17" s="3"/>
      <c r="DX17" s="3"/>
      <c r="DY17" s="80">
        <f t="shared" si="26"/>
        <v>230</v>
      </c>
      <c r="DZ17" s="3">
        <v>230</v>
      </c>
      <c r="EA17" s="3"/>
      <c r="EB17" s="3"/>
      <c r="EC17" s="3"/>
      <c r="ED17" s="80">
        <f t="shared" si="27"/>
        <v>230</v>
      </c>
      <c r="EE17" s="3">
        <v>234.6</v>
      </c>
      <c r="EF17" s="3"/>
      <c r="EG17" s="3"/>
      <c r="EH17" s="3"/>
      <c r="EI17" s="80">
        <f t="shared" si="28"/>
        <v>234.6</v>
      </c>
      <c r="EJ17" s="3">
        <v>306</v>
      </c>
      <c r="EK17" s="3"/>
      <c r="EL17" s="3"/>
      <c r="EM17" s="3"/>
      <c r="EN17" s="80">
        <f t="shared" si="29"/>
        <v>306</v>
      </c>
      <c r="EO17" s="3">
        <v>255</v>
      </c>
      <c r="EP17" s="3"/>
      <c r="EQ17" s="3"/>
      <c r="ER17" s="3"/>
      <c r="ES17" s="80">
        <f t="shared" si="30"/>
        <v>255</v>
      </c>
      <c r="ET17" s="3">
        <v>255</v>
      </c>
      <c r="EU17" s="3"/>
      <c r="EV17" s="3"/>
      <c r="EW17" s="3"/>
      <c r="EX17" s="80">
        <f t="shared" si="31"/>
        <v>255</v>
      </c>
      <c r="EY17" s="3">
        <v>255</v>
      </c>
      <c r="EZ17" s="3"/>
      <c r="FA17" s="3"/>
      <c r="FB17" s="3"/>
      <c r="FC17" s="80">
        <f t="shared" si="32"/>
        <v>255</v>
      </c>
      <c r="FD17" s="3">
        <v>255</v>
      </c>
      <c r="FE17" s="3"/>
      <c r="FF17" s="3"/>
      <c r="FG17" s="3"/>
      <c r="FH17" s="80">
        <f t="shared" si="33"/>
        <v>255</v>
      </c>
      <c r="FI17" s="3">
        <v>153</v>
      </c>
      <c r="FJ17" s="3"/>
      <c r="FK17" s="3"/>
      <c r="FL17" s="3"/>
      <c r="FM17" s="80">
        <f t="shared" si="34"/>
        <v>153</v>
      </c>
      <c r="FN17" s="3">
        <v>153</v>
      </c>
      <c r="FO17" s="3"/>
      <c r="FP17" s="3"/>
      <c r="FQ17" s="3"/>
      <c r="FR17" s="80">
        <f t="shared" si="35"/>
        <v>153</v>
      </c>
      <c r="FS17" s="3">
        <v>153</v>
      </c>
      <c r="FT17" s="3"/>
      <c r="FU17" s="3"/>
      <c r="FV17" s="3"/>
      <c r="FW17" s="80">
        <f t="shared" si="36"/>
        <v>153</v>
      </c>
      <c r="FX17" s="3">
        <v>153</v>
      </c>
      <c r="FY17" s="3"/>
      <c r="FZ17" s="3"/>
      <c r="GA17" s="3"/>
      <c r="GB17" s="80">
        <f t="shared" si="37"/>
        <v>153</v>
      </c>
      <c r="GC17" s="12">
        <f t="shared" si="39"/>
        <v>2632.6</v>
      </c>
    </row>
    <row r="18" spans="1:185" x14ac:dyDescent="0.35">
      <c r="A18" s="1" t="s">
        <v>16</v>
      </c>
      <c r="B18" s="1" t="s">
        <v>24</v>
      </c>
      <c r="F18" s="1">
        <v>248</v>
      </c>
      <c r="G18" s="80">
        <f t="shared" si="10"/>
        <v>248</v>
      </c>
      <c r="H18" s="3"/>
      <c r="I18" s="3"/>
      <c r="J18" s="3"/>
      <c r="K18" s="3"/>
      <c r="L18" s="80">
        <f t="shared" si="11"/>
        <v>0</v>
      </c>
      <c r="M18" s="3"/>
      <c r="N18" s="3"/>
      <c r="O18" s="3"/>
      <c r="P18" s="3">
        <v>987</v>
      </c>
      <c r="Q18" s="80">
        <f t="shared" si="12"/>
        <v>987</v>
      </c>
      <c r="R18" s="3"/>
      <c r="S18" s="3"/>
      <c r="T18" s="3"/>
      <c r="U18" s="3"/>
      <c r="V18" s="80">
        <f t="shared" si="13"/>
        <v>0</v>
      </c>
      <c r="W18" s="3"/>
      <c r="X18" s="3"/>
      <c r="Y18" s="3"/>
      <c r="Z18" s="3"/>
      <c r="AA18" s="80">
        <f t="shared" si="14"/>
        <v>0</v>
      </c>
      <c r="AB18" s="3"/>
      <c r="AC18" s="3"/>
      <c r="AD18" s="3"/>
      <c r="AE18" s="3">
        <v>354</v>
      </c>
      <c r="AF18" s="80">
        <f t="shared" si="15"/>
        <v>354</v>
      </c>
      <c r="AG18" s="3"/>
      <c r="AH18" s="3"/>
      <c r="AI18" s="3"/>
      <c r="AJ18" s="3">
        <v>1004</v>
      </c>
      <c r="AK18" s="80">
        <f t="shared" si="16"/>
        <v>1004</v>
      </c>
      <c r="AL18" s="3"/>
      <c r="AM18" s="3"/>
      <c r="AN18" s="3"/>
      <c r="AO18" s="3"/>
      <c r="AP18" s="80">
        <f t="shared" si="17"/>
        <v>0</v>
      </c>
      <c r="AQ18" s="3"/>
      <c r="AR18" s="3">
        <v>562</v>
      </c>
      <c r="AS18" s="3"/>
      <c r="AT18" s="3"/>
      <c r="AU18" s="80">
        <f t="shared" si="18"/>
        <v>562</v>
      </c>
      <c r="AV18" s="3"/>
      <c r="AW18" s="3"/>
      <c r="AX18" s="3">
        <v>396</v>
      </c>
      <c r="AY18" s="3"/>
      <c r="AZ18" s="80">
        <f t="shared" si="19"/>
        <v>396</v>
      </c>
      <c r="BA18" s="3"/>
      <c r="BC18" s="128">
        <v>245</v>
      </c>
      <c r="BD18" s="3">
        <v>370</v>
      </c>
      <c r="BE18" s="80">
        <f>SUM(BA18:BD18)</f>
        <v>615</v>
      </c>
      <c r="BG18" s="3"/>
      <c r="BH18" s="3"/>
      <c r="BI18" s="3"/>
      <c r="BJ18" s="80">
        <f t="shared" si="21"/>
        <v>0</v>
      </c>
      <c r="BK18" s="12">
        <f t="shared" si="22"/>
        <v>4166</v>
      </c>
      <c r="BL18" s="3"/>
      <c r="BN18" s="3">
        <v>301</v>
      </c>
      <c r="BO18" s="3"/>
      <c r="BP18" s="80">
        <f t="shared" si="0"/>
        <v>301</v>
      </c>
      <c r="BQ18" s="3"/>
      <c r="BR18" s="3"/>
      <c r="BS18" s="3">
        <v>635</v>
      </c>
      <c r="BT18" s="3"/>
      <c r="BU18" s="80">
        <f t="shared" si="23"/>
        <v>635</v>
      </c>
      <c r="BV18" s="3"/>
      <c r="BW18" s="3">
        <v>400</v>
      </c>
      <c r="BX18" s="3"/>
      <c r="BY18" s="3"/>
      <c r="BZ18" s="80">
        <f t="shared" si="1"/>
        <v>400</v>
      </c>
      <c r="CB18" s="3"/>
      <c r="CC18" s="3">
        <v>300</v>
      </c>
      <c r="CD18" s="3"/>
      <c r="CE18" s="80">
        <f t="shared" si="2"/>
        <v>300</v>
      </c>
      <c r="CG18" s="3"/>
      <c r="CH18" s="3">
        <v>250</v>
      </c>
      <c r="CI18" s="3"/>
      <c r="CJ18" s="80">
        <f t="shared" si="3"/>
        <v>250</v>
      </c>
      <c r="CL18" s="3"/>
      <c r="CM18" s="3">
        <v>300</v>
      </c>
      <c r="CN18" s="3"/>
      <c r="CO18" s="80">
        <f t="shared" si="4"/>
        <v>300</v>
      </c>
      <c r="CQ18" s="3"/>
      <c r="CR18" s="3">
        <v>300</v>
      </c>
      <c r="CS18" s="3"/>
      <c r="CT18" s="80">
        <f t="shared" si="24"/>
        <v>300</v>
      </c>
      <c r="CV18" s="3"/>
      <c r="CW18" s="3">
        <v>350</v>
      </c>
      <c r="CX18" s="3"/>
      <c r="CY18" s="80">
        <f t="shared" si="25"/>
        <v>350</v>
      </c>
      <c r="DA18" s="3"/>
      <c r="DB18" s="3">
        <v>350</v>
      </c>
      <c r="DC18" s="3"/>
      <c r="DD18" s="80">
        <f t="shared" si="5"/>
        <v>350</v>
      </c>
      <c r="DF18" s="3"/>
      <c r="DG18" s="3">
        <v>350</v>
      </c>
      <c r="DH18" s="3"/>
      <c r="DI18" s="80">
        <f t="shared" si="6"/>
        <v>350</v>
      </c>
      <c r="DL18" s="3">
        <v>250</v>
      </c>
      <c r="DM18" s="3"/>
      <c r="DN18" s="80">
        <f t="shared" si="7"/>
        <v>250</v>
      </c>
      <c r="DP18" s="3">
        <v>250</v>
      </c>
      <c r="DQ18" s="3"/>
      <c r="DR18" s="3"/>
      <c r="DS18" s="80">
        <f t="shared" si="8"/>
        <v>250</v>
      </c>
      <c r="DT18" s="12">
        <f t="shared" si="9"/>
        <v>4036</v>
      </c>
      <c r="DU18" s="3">
        <v>400</v>
      </c>
      <c r="DV18" s="3"/>
      <c r="DW18" s="3"/>
      <c r="DX18" s="3"/>
      <c r="DY18" s="80">
        <f t="shared" si="26"/>
        <v>400</v>
      </c>
      <c r="DZ18" s="3">
        <v>400</v>
      </c>
      <c r="EA18" s="3"/>
      <c r="EB18" s="3"/>
      <c r="EC18" s="3"/>
      <c r="ED18" s="80">
        <f t="shared" si="27"/>
        <v>400</v>
      </c>
      <c r="EE18" s="3">
        <v>408</v>
      </c>
      <c r="EF18" s="3"/>
      <c r="EG18" s="3"/>
      <c r="EH18" s="3"/>
      <c r="EI18" s="80">
        <f t="shared" si="28"/>
        <v>408</v>
      </c>
      <c r="EJ18" s="3">
        <v>408</v>
      </c>
      <c r="EK18" s="3"/>
      <c r="EL18" s="3"/>
      <c r="EM18" s="3"/>
      <c r="EN18" s="80">
        <f t="shared" si="29"/>
        <v>408</v>
      </c>
      <c r="EO18" s="3">
        <v>510</v>
      </c>
      <c r="EP18" s="3"/>
      <c r="EQ18" s="3"/>
      <c r="ER18" s="3"/>
      <c r="ES18" s="80">
        <f t="shared" si="30"/>
        <v>510</v>
      </c>
      <c r="ET18" s="3">
        <v>510</v>
      </c>
      <c r="EU18" s="3"/>
      <c r="EV18" s="3"/>
      <c r="EW18" s="3"/>
      <c r="EX18" s="80">
        <f t="shared" si="31"/>
        <v>510</v>
      </c>
      <c r="EY18" s="3">
        <v>510</v>
      </c>
      <c r="EZ18" s="3"/>
      <c r="FA18" s="3"/>
      <c r="FB18" s="3"/>
      <c r="FC18" s="80">
        <f t="shared" si="32"/>
        <v>510</v>
      </c>
      <c r="FD18" s="3">
        <v>408</v>
      </c>
      <c r="FE18" s="3"/>
      <c r="FF18" s="3"/>
      <c r="FG18" s="3"/>
      <c r="FH18" s="80">
        <f t="shared" si="33"/>
        <v>408</v>
      </c>
      <c r="FI18" s="3">
        <v>408</v>
      </c>
      <c r="FJ18" s="3"/>
      <c r="FK18" s="3"/>
      <c r="FL18" s="3"/>
      <c r="FM18" s="80">
        <f t="shared" si="34"/>
        <v>408</v>
      </c>
      <c r="FN18" s="3">
        <v>306</v>
      </c>
      <c r="FO18" s="3"/>
      <c r="FP18" s="3"/>
      <c r="FQ18" s="3"/>
      <c r="FR18" s="80">
        <f t="shared" si="35"/>
        <v>306</v>
      </c>
      <c r="FS18" s="3">
        <v>306</v>
      </c>
      <c r="FT18" s="3"/>
      <c r="FU18" s="3"/>
      <c r="FV18" s="3"/>
      <c r="FW18" s="80">
        <f t="shared" si="36"/>
        <v>306</v>
      </c>
      <c r="FX18" s="3">
        <v>306</v>
      </c>
      <c r="FY18" s="3"/>
      <c r="FZ18" s="3"/>
      <c r="GA18" s="3"/>
      <c r="GB18" s="80">
        <f t="shared" si="37"/>
        <v>306</v>
      </c>
      <c r="GC18" s="12">
        <f t="shared" si="39"/>
        <v>4880</v>
      </c>
    </row>
    <row r="19" spans="1:185" x14ac:dyDescent="0.35">
      <c r="A19" s="1" t="s">
        <v>16</v>
      </c>
      <c r="B19" s="1" t="s">
        <v>25</v>
      </c>
      <c r="G19" s="80">
        <f t="shared" si="10"/>
        <v>0</v>
      </c>
      <c r="H19" s="3"/>
      <c r="I19" s="3"/>
      <c r="J19" s="3"/>
      <c r="K19" s="3"/>
      <c r="L19" s="80">
        <f t="shared" si="11"/>
        <v>0</v>
      </c>
      <c r="M19" s="3"/>
      <c r="N19" s="3"/>
      <c r="O19" s="3"/>
      <c r="P19" s="3">
        <v>344</v>
      </c>
      <c r="Q19" s="80">
        <f t="shared" si="12"/>
        <v>344</v>
      </c>
      <c r="R19" s="3"/>
      <c r="S19" s="3"/>
      <c r="T19" s="3"/>
      <c r="U19" s="3"/>
      <c r="V19" s="80">
        <f t="shared" si="13"/>
        <v>0</v>
      </c>
      <c r="W19" s="3"/>
      <c r="X19" s="3"/>
      <c r="Y19" s="3"/>
      <c r="Z19" s="3"/>
      <c r="AA19" s="80">
        <f t="shared" si="14"/>
        <v>0</v>
      </c>
      <c r="AB19" s="3"/>
      <c r="AC19" s="3"/>
      <c r="AD19" s="3"/>
      <c r="AE19" s="3"/>
      <c r="AF19" s="80">
        <f t="shared" si="15"/>
        <v>0</v>
      </c>
      <c r="AG19" s="3"/>
      <c r="AH19" s="3"/>
      <c r="AI19" s="3"/>
      <c r="AJ19" s="3"/>
      <c r="AK19" s="80">
        <f t="shared" si="16"/>
        <v>0</v>
      </c>
      <c r="AL19" s="3"/>
      <c r="AM19" s="3"/>
      <c r="AN19" s="3">
        <v>223</v>
      </c>
      <c r="AO19" s="3"/>
      <c r="AP19" s="80">
        <f t="shared" si="17"/>
        <v>223</v>
      </c>
      <c r="AQ19" s="3"/>
      <c r="AR19" s="3"/>
      <c r="AS19" s="3"/>
      <c r="AT19" s="3"/>
      <c r="AU19" s="80">
        <f t="shared" si="18"/>
        <v>0</v>
      </c>
      <c r="AV19" s="3"/>
      <c r="AW19" s="3"/>
      <c r="AX19" s="3"/>
      <c r="AY19" s="3"/>
      <c r="AZ19" s="80">
        <f t="shared" si="19"/>
        <v>0</v>
      </c>
      <c r="BA19" s="3">
        <v>152</v>
      </c>
      <c r="BC19" s="3"/>
      <c r="BD19" s="3">
        <v>111</v>
      </c>
      <c r="BE19" s="80">
        <f>SUM(BA19:BD19)</f>
        <v>263</v>
      </c>
      <c r="BG19" s="3"/>
      <c r="BH19" s="3"/>
      <c r="BI19" s="3"/>
      <c r="BJ19" s="80">
        <f t="shared" si="21"/>
        <v>0</v>
      </c>
      <c r="BK19" s="12">
        <f t="shared" si="22"/>
        <v>830</v>
      </c>
      <c r="BL19" s="3"/>
      <c r="BN19" s="3">
        <v>176</v>
      </c>
      <c r="BO19" s="3"/>
      <c r="BP19" s="80">
        <f t="shared" si="0"/>
        <v>176</v>
      </c>
      <c r="BQ19" s="3"/>
      <c r="BR19" s="3"/>
      <c r="BS19" s="3"/>
      <c r="BT19" s="3"/>
      <c r="BU19" s="80">
        <f t="shared" si="23"/>
        <v>0</v>
      </c>
      <c r="BV19" s="3"/>
      <c r="BW19" s="3"/>
      <c r="BX19" s="3">
        <v>170</v>
      </c>
      <c r="BY19" s="3"/>
      <c r="BZ19" s="80">
        <f t="shared" si="1"/>
        <v>170</v>
      </c>
      <c r="CB19" s="3"/>
      <c r="CC19" s="3"/>
      <c r="CD19" s="3"/>
      <c r="CE19" s="80">
        <f t="shared" si="2"/>
        <v>0</v>
      </c>
      <c r="CG19" s="3"/>
      <c r="CH19" s="3">
        <v>200</v>
      </c>
      <c r="CI19" s="3"/>
      <c r="CJ19" s="80">
        <f t="shared" si="3"/>
        <v>200</v>
      </c>
      <c r="CL19" s="3"/>
      <c r="CM19" s="3"/>
      <c r="CN19" s="3"/>
      <c r="CO19" s="80">
        <f t="shared" si="4"/>
        <v>0</v>
      </c>
      <c r="CQ19" s="3"/>
      <c r="CR19" s="3">
        <v>200</v>
      </c>
      <c r="CS19" s="3"/>
      <c r="CT19" s="80">
        <f t="shared" si="24"/>
        <v>200</v>
      </c>
      <c r="CV19" s="3"/>
      <c r="CW19" s="3"/>
      <c r="CX19" s="3"/>
      <c r="CY19" s="80">
        <f t="shared" si="25"/>
        <v>0</v>
      </c>
      <c r="DA19" s="3"/>
      <c r="DB19" s="3">
        <v>200</v>
      </c>
      <c r="DC19" s="3"/>
      <c r="DD19" s="80">
        <f t="shared" si="5"/>
        <v>200</v>
      </c>
      <c r="DF19" s="3"/>
      <c r="DG19" s="3"/>
      <c r="DH19" s="3"/>
      <c r="DI19" s="80">
        <f t="shared" si="6"/>
        <v>0</v>
      </c>
      <c r="DL19" s="3">
        <v>100</v>
      </c>
      <c r="DM19" s="3"/>
      <c r="DN19" s="80">
        <f t="shared" si="7"/>
        <v>100</v>
      </c>
      <c r="DP19" s="3"/>
      <c r="DQ19" s="3"/>
      <c r="DR19" s="3"/>
      <c r="DS19" s="80">
        <f t="shared" si="8"/>
        <v>0</v>
      </c>
      <c r="DT19" s="12">
        <f t="shared" si="9"/>
        <v>1046</v>
      </c>
      <c r="DU19" s="3">
        <v>200</v>
      </c>
      <c r="DV19" s="3"/>
      <c r="DW19" s="3"/>
      <c r="DX19" s="3"/>
      <c r="DY19" s="80">
        <f t="shared" si="26"/>
        <v>200</v>
      </c>
      <c r="DZ19" s="3">
        <v>150</v>
      </c>
      <c r="EA19" s="3"/>
      <c r="EB19" s="3"/>
      <c r="EC19" s="3"/>
      <c r="ED19" s="80">
        <f t="shared" si="27"/>
        <v>150</v>
      </c>
      <c r="EE19" s="3">
        <v>102</v>
      </c>
      <c r="EF19" s="3"/>
      <c r="EG19" s="3"/>
      <c r="EH19" s="3"/>
      <c r="EI19" s="80">
        <f t="shared" si="28"/>
        <v>102</v>
      </c>
      <c r="EJ19" s="3">
        <v>102</v>
      </c>
      <c r="EK19" s="3"/>
      <c r="EL19" s="3"/>
      <c r="EM19" s="3"/>
      <c r="EN19" s="80">
        <f t="shared" si="29"/>
        <v>102</v>
      </c>
      <c r="EO19" s="3">
        <v>102</v>
      </c>
      <c r="EP19" s="3"/>
      <c r="EQ19" s="3"/>
      <c r="ER19" s="3"/>
      <c r="ES19" s="80">
        <f t="shared" si="30"/>
        <v>102</v>
      </c>
      <c r="ET19" s="3">
        <v>81.599999999999994</v>
      </c>
      <c r="EU19" s="3"/>
      <c r="EV19" s="3"/>
      <c r="EW19" s="3"/>
      <c r="EX19" s="80">
        <f t="shared" si="31"/>
        <v>81.599999999999994</v>
      </c>
      <c r="EY19" s="3">
        <v>102</v>
      </c>
      <c r="EZ19" s="3"/>
      <c r="FA19" s="3"/>
      <c r="FB19" s="3"/>
      <c r="FC19" s="80">
        <f t="shared" si="32"/>
        <v>102</v>
      </c>
      <c r="FD19" s="3">
        <v>102</v>
      </c>
      <c r="FE19" s="3"/>
      <c r="FF19" s="3"/>
      <c r="FG19" s="3"/>
      <c r="FH19" s="80">
        <f t="shared" si="33"/>
        <v>102</v>
      </c>
      <c r="FI19" s="3">
        <v>71.400000000000006</v>
      </c>
      <c r="FJ19" s="3"/>
      <c r="FK19" s="3"/>
      <c r="FL19" s="3"/>
      <c r="FM19" s="80">
        <f t="shared" si="34"/>
        <v>71.400000000000006</v>
      </c>
      <c r="FN19" s="3">
        <v>71.400000000000006</v>
      </c>
      <c r="FO19" s="3"/>
      <c r="FP19" s="3"/>
      <c r="FQ19" s="3"/>
      <c r="FR19" s="80">
        <f t="shared" si="35"/>
        <v>71.400000000000006</v>
      </c>
      <c r="FS19" s="3">
        <v>71.400000000000006</v>
      </c>
      <c r="FT19" s="3"/>
      <c r="FU19" s="3"/>
      <c r="FV19" s="3"/>
      <c r="FW19" s="80">
        <f t="shared" si="36"/>
        <v>71.400000000000006</v>
      </c>
      <c r="FX19" s="3">
        <v>71.400000000000006</v>
      </c>
      <c r="FY19" s="3"/>
      <c r="FZ19" s="3"/>
      <c r="GA19" s="3"/>
      <c r="GB19" s="80">
        <f t="shared" si="37"/>
        <v>71.400000000000006</v>
      </c>
      <c r="GC19" s="12">
        <f t="shared" si="39"/>
        <v>1227.2000000000003</v>
      </c>
    </row>
    <row r="20" spans="1:185" x14ac:dyDescent="0.35">
      <c r="A20" s="1" t="s">
        <v>16</v>
      </c>
      <c r="B20" s="1" t="s">
        <v>26</v>
      </c>
      <c r="G20" s="80">
        <f t="shared" si="10"/>
        <v>0</v>
      </c>
      <c r="H20" s="3"/>
      <c r="I20" s="3"/>
      <c r="J20" s="3"/>
      <c r="K20" s="3"/>
      <c r="L20" s="80">
        <f t="shared" si="11"/>
        <v>0</v>
      </c>
      <c r="M20" s="3"/>
      <c r="N20" s="3"/>
      <c r="O20" s="3"/>
      <c r="P20" s="3">
        <v>193</v>
      </c>
      <c r="Q20" s="80">
        <f t="shared" si="12"/>
        <v>193</v>
      </c>
      <c r="R20" s="3"/>
      <c r="S20" s="3"/>
      <c r="T20" s="3"/>
      <c r="U20" s="3"/>
      <c r="V20" s="80">
        <f t="shared" si="13"/>
        <v>0</v>
      </c>
      <c r="W20" s="3"/>
      <c r="X20" s="3"/>
      <c r="Y20" s="3"/>
      <c r="Z20" s="3"/>
      <c r="AA20" s="80">
        <f t="shared" si="14"/>
        <v>0</v>
      </c>
      <c r="AB20" s="3"/>
      <c r="AC20" s="3"/>
      <c r="AD20" s="3"/>
      <c r="AE20" s="3"/>
      <c r="AF20" s="80">
        <f t="shared" si="15"/>
        <v>0</v>
      </c>
      <c r="AG20" s="3"/>
      <c r="AH20" s="3"/>
      <c r="AI20" s="3"/>
      <c r="AJ20" s="3"/>
      <c r="AK20" s="80">
        <f t="shared" si="16"/>
        <v>0</v>
      </c>
      <c r="AL20" s="3"/>
      <c r="AM20" s="3"/>
      <c r="AN20" s="3"/>
      <c r="AO20" s="3"/>
      <c r="AP20" s="80">
        <f t="shared" si="17"/>
        <v>0</v>
      </c>
      <c r="AQ20" s="3"/>
      <c r="AR20" s="3"/>
      <c r="AS20" s="3"/>
      <c r="AT20" s="3"/>
      <c r="AU20" s="80">
        <f t="shared" si="18"/>
        <v>0</v>
      </c>
      <c r="AV20" s="3"/>
      <c r="AW20" s="3"/>
      <c r="AX20" s="3"/>
      <c r="AY20" s="3"/>
      <c r="AZ20" s="80">
        <f t="shared" si="19"/>
        <v>0</v>
      </c>
      <c r="BA20" s="3"/>
      <c r="BC20" s="3"/>
      <c r="BD20" s="3"/>
      <c r="BE20" s="80">
        <f t="shared" si="20"/>
        <v>0</v>
      </c>
      <c r="BF20" s="3"/>
      <c r="BG20" s="3"/>
      <c r="BH20" s="3"/>
      <c r="BI20" s="3"/>
      <c r="BJ20" s="80">
        <f t="shared" si="21"/>
        <v>0</v>
      </c>
      <c r="BK20" s="12">
        <f t="shared" si="22"/>
        <v>193</v>
      </c>
      <c r="BL20" s="3" t="s">
        <v>48</v>
      </c>
      <c r="BM20" s="3"/>
      <c r="BN20" s="3"/>
      <c r="BO20" s="3"/>
      <c r="BP20" s="80">
        <f t="shared" si="0"/>
        <v>0</v>
      </c>
      <c r="BQ20" s="3"/>
      <c r="BR20" s="3"/>
      <c r="BS20" s="3"/>
      <c r="BT20" s="3"/>
      <c r="BU20" s="80">
        <f t="shared" si="23"/>
        <v>0</v>
      </c>
      <c r="BV20" s="3"/>
      <c r="BW20" s="3"/>
      <c r="BX20" s="3">
        <v>100</v>
      </c>
      <c r="BY20" s="3"/>
      <c r="BZ20" s="80">
        <f t="shared" si="1"/>
        <v>100</v>
      </c>
      <c r="CA20" s="3" t="s">
        <v>49</v>
      </c>
      <c r="CB20" s="3"/>
      <c r="CC20" s="3">
        <v>100</v>
      </c>
      <c r="CD20" s="3"/>
      <c r="CE20" s="80">
        <f t="shared" si="2"/>
        <v>100</v>
      </c>
      <c r="CG20" s="3"/>
      <c r="CH20" s="3"/>
      <c r="CI20" s="3"/>
      <c r="CJ20" s="80">
        <f t="shared" si="3"/>
        <v>0</v>
      </c>
      <c r="CL20" s="3"/>
      <c r="CM20" s="3"/>
      <c r="CN20" s="3"/>
      <c r="CO20" s="80">
        <f t="shared" si="4"/>
        <v>0</v>
      </c>
      <c r="CP20" s="1">
        <v>50</v>
      </c>
      <c r="CQ20" s="3"/>
      <c r="CR20" s="3">
        <v>0</v>
      </c>
      <c r="CS20" s="3"/>
      <c r="CT20" s="80">
        <f t="shared" si="24"/>
        <v>50</v>
      </c>
      <c r="CV20" s="3"/>
      <c r="CW20" s="3">
        <v>75</v>
      </c>
      <c r="CX20" s="3"/>
      <c r="CY20" s="80">
        <f t="shared" si="25"/>
        <v>75</v>
      </c>
      <c r="DA20" s="3"/>
      <c r="DB20" s="3"/>
      <c r="DC20" s="3"/>
      <c r="DD20" s="80">
        <f t="shared" si="5"/>
        <v>0</v>
      </c>
      <c r="DF20" s="3"/>
      <c r="DG20" s="3"/>
      <c r="DH20" s="3"/>
      <c r="DI20" s="80">
        <f t="shared" si="6"/>
        <v>0</v>
      </c>
      <c r="DK20" s="1">
        <v>50</v>
      </c>
      <c r="DL20" s="3"/>
      <c r="DM20" s="3"/>
      <c r="DN20" s="80">
        <f t="shared" si="7"/>
        <v>50</v>
      </c>
      <c r="DP20" s="3"/>
      <c r="DQ20" s="3"/>
      <c r="DR20" s="3"/>
      <c r="DS20" s="80">
        <f t="shared" si="8"/>
        <v>0</v>
      </c>
      <c r="DT20" s="12">
        <f t="shared" si="9"/>
        <v>375</v>
      </c>
      <c r="DU20" s="3">
        <v>20</v>
      </c>
      <c r="DV20" s="3"/>
      <c r="DW20" s="3"/>
      <c r="DX20" s="3"/>
      <c r="DY20" s="80">
        <f t="shared" si="26"/>
        <v>20</v>
      </c>
      <c r="DZ20" s="3">
        <v>20</v>
      </c>
      <c r="EA20" s="3"/>
      <c r="EB20" s="3"/>
      <c r="EC20" s="3"/>
      <c r="ED20" s="80">
        <f t="shared" si="27"/>
        <v>20</v>
      </c>
      <c r="EE20" s="3">
        <v>40.799999999999997</v>
      </c>
      <c r="EF20" s="3"/>
      <c r="EG20" s="3"/>
      <c r="EH20" s="3"/>
      <c r="EI20" s="80">
        <f t="shared" si="28"/>
        <v>40.799999999999997</v>
      </c>
      <c r="EJ20" s="3">
        <v>40.799999999999997</v>
      </c>
      <c r="EK20" s="3"/>
      <c r="EL20" s="3"/>
      <c r="EM20" s="3"/>
      <c r="EN20" s="80">
        <f t="shared" si="29"/>
        <v>40.799999999999997</v>
      </c>
      <c r="EO20" s="3">
        <v>40.799999999999997</v>
      </c>
      <c r="EP20" s="3"/>
      <c r="EQ20" s="3"/>
      <c r="ER20" s="3"/>
      <c r="ES20" s="80">
        <f t="shared" si="30"/>
        <v>40.799999999999997</v>
      </c>
      <c r="ET20" s="3">
        <v>40.799999999999997</v>
      </c>
      <c r="EU20" s="3"/>
      <c r="EV20" s="3"/>
      <c r="EW20" s="3"/>
      <c r="EX20" s="80">
        <f t="shared" si="31"/>
        <v>40.799999999999997</v>
      </c>
      <c r="EY20" s="3">
        <v>40.799999999999997</v>
      </c>
      <c r="EZ20" s="3"/>
      <c r="FA20" s="3"/>
      <c r="FB20" s="3"/>
      <c r="FC20" s="80">
        <f t="shared" si="32"/>
        <v>40.799999999999997</v>
      </c>
      <c r="FD20" s="3">
        <v>40.799999999999997</v>
      </c>
      <c r="FE20" s="3"/>
      <c r="FF20" s="3"/>
      <c r="FG20" s="3"/>
      <c r="FH20" s="80">
        <f t="shared" si="33"/>
        <v>40.799999999999997</v>
      </c>
      <c r="FI20" s="3">
        <v>40.799999999999997</v>
      </c>
      <c r="FJ20" s="3"/>
      <c r="FK20" s="3"/>
      <c r="FL20" s="3"/>
      <c r="FM20" s="80">
        <f t="shared" si="34"/>
        <v>40.799999999999997</v>
      </c>
      <c r="FN20" s="3">
        <v>30.6</v>
      </c>
      <c r="FO20" s="3"/>
      <c r="FP20" s="3"/>
      <c r="FQ20" s="3"/>
      <c r="FR20" s="80">
        <f t="shared" si="35"/>
        <v>30.6</v>
      </c>
      <c r="FS20" s="3">
        <v>30.6</v>
      </c>
      <c r="FT20" s="3"/>
      <c r="FU20" s="3"/>
      <c r="FV20" s="3"/>
      <c r="FW20" s="80">
        <f t="shared" si="36"/>
        <v>30.6</v>
      </c>
      <c r="FX20" s="3">
        <v>30.6</v>
      </c>
      <c r="FY20" s="3"/>
      <c r="FZ20" s="3"/>
      <c r="GA20" s="3"/>
      <c r="GB20" s="80">
        <f t="shared" si="37"/>
        <v>30.6</v>
      </c>
      <c r="GC20" s="12">
        <f t="shared" si="39"/>
        <v>417.40000000000009</v>
      </c>
    </row>
    <row r="21" spans="1:185" x14ac:dyDescent="0.35">
      <c r="A21" s="1" t="s">
        <v>16</v>
      </c>
      <c r="B21" s="1" t="s">
        <v>27</v>
      </c>
      <c r="F21" s="1">
        <v>401</v>
      </c>
      <c r="G21" s="80">
        <f t="shared" si="10"/>
        <v>401</v>
      </c>
      <c r="H21" s="3"/>
      <c r="I21" s="3"/>
      <c r="J21" s="3"/>
      <c r="K21" s="3"/>
      <c r="L21" s="80">
        <f t="shared" si="11"/>
        <v>0</v>
      </c>
      <c r="M21" s="3"/>
      <c r="N21" s="3"/>
      <c r="O21" s="3"/>
      <c r="P21" s="3">
        <v>752</v>
      </c>
      <c r="Q21" s="80">
        <f t="shared" si="12"/>
        <v>752</v>
      </c>
      <c r="R21" s="3"/>
      <c r="S21" s="3"/>
      <c r="T21" s="3"/>
      <c r="U21" s="3"/>
      <c r="V21" s="80">
        <f t="shared" si="13"/>
        <v>0</v>
      </c>
      <c r="W21" s="3"/>
      <c r="X21" s="3"/>
      <c r="Y21" s="3"/>
      <c r="Z21" s="3"/>
      <c r="AA21" s="80">
        <f t="shared" si="14"/>
        <v>0</v>
      </c>
      <c r="AB21" s="3"/>
      <c r="AC21" s="3"/>
      <c r="AD21" s="3"/>
      <c r="AE21" s="3"/>
      <c r="AF21" s="80">
        <f t="shared" si="15"/>
        <v>0</v>
      </c>
      <c r="AG21" s="3"/>
      <c r="AH21" s="3"/>
      <c r="AI21" s="3"/>
      <c r="AJ21" s="3">
        <v>569</v>
      </c>
      <c r="AK21" s="80">
        <f t="shared" si="16"/>
        <v>569</v>
      </c>
      <c r="AL21" s="3"/>
      <c r="AM21" s="3"/>
      <c r="AN21" s="3">
        <v>805</v>
      </c>
      <c r="AO21" s="3"/>
      <c r="AP21" s="80">
        <f t="shared" si="17"/>
        <v>805</v>
      </c>
      <c r="AQ21" s="3"/>
      <c r="AR21" s="3"/>
      <c r="AS21" s="3"/>
      <c r="AT21" s="3"/>
      <c r="AU21" s="80">
        <f t="shared" si="18"/>
        <v>0</v>
      </c>
      <c r="AV21" s="3"/>
      <c r="AW21" s="3"/>
      <c r="AX21" s="3"/>
      <c r="AY21" s="3"/>
      <c r="AZ21" s="80">
        <f t="shared" si="19"/>
        <v>0</v>
      </c>
      <c r="BA21" s="3">
        <v>396</v>
      </c>
      <c r="BC21" s="128">
        <v>249</v>
      </c>
      <c r="BD21" s="3"/>
      <c r="BE21" s="80">
        <f t="shared" si="20"/>
        <v>645</v>
      </c>
      <c r="BF21" s="3"/>
      <c r="BG21" s="3"/>
      <c r="BH21" s="3"/>
      <c r="BI21" s="3"/>
      <c r="BJ21" s="80">
        <f t="shared" si="21"/>
        <v>0</v>
      </c>
      <c r="BK21" s="12">
        <f t="shared" si="22"/>
        <v>3172</v>
      </c>
      <c r="BL21" s="3" t="s">
        <v>48</v>
      </c>
      <c r="BM21" s="3"/>
      <c r="BN21" s="3"/>
      <c r="BO21" s="3"/>
      <c r="BP21" s="80">
        <f t="shared" si="0"/>
        <v>0</v>
      </c>
      <c r="BQ21" s="3"/>
      <c r="BR21" s="3"/>
      <c r="BS21" s="3">
        <v>463</v>
      </c>
      <c r="BT21" s="3"/>
      <c r="BU21" s="80">
        <f t="shared" si="23"/>
        <v>463</v>
      </c>
      <c r="BV21" s="3"/>
      <c r="BW21" s="3"/>
      <c r="BX21" s="3">
        <v>400</v>
      </c>
      <c r="BY21" s="3"/>
      <c r="BZ21" s="80">
        <f t="shared" si="1"/>
        <v>400</v>
      </c>
      <c r="CC21" s="3">
        <v>400</v>
      </c>
      <c r="CD21" s="3"/>
      <c r="CE21" s="80">
        <f t="shared" si="2"/>
        <v>400</v>
      </c>
      <c r="CG21" s="3"/>
      <c r="CH21" s="3">
        <v>350</v>
      </c>
      <c r="CI21" s="3"/>
      <c r="CJ21" s="80">
        <f t="shared" si="3"/>
        <v>350</v>
      </c>
      <c r="CL21" s="3"/>
      <c r="CM21" s="3">
        <v>350</v>
      </c>
      <c r="CN21" s="3"/>
      <c r="CO21" s="80">
        <f t="shared" si="4"/>
        <v>350</v>
      </c>
      <c r="CQ21" s="3"/>
      <c r="CR21" s="3">
        <v>350</v>
      </c>
      <c r="CS21" s="3"/>
      <c r="CT21" s="80">
        <f t="shared" si="24"/>
        <v>350</v>
      </c>
      <c r="CV21" s="3"/>
      <c r="CW21" s="3">
        <v>250</v>
      </c>
      <c r="CX21" s="3"/>
      <c r="CY21" s="80">
        <f t="shared" si="25"/>
        <v>250</v>
      </c>
      <c r="CZ21" s="3"/>
      <c r="DA21" s="3">
        <v>200</v>
      </c>
      <c r="DB21" s="3"/>
      <c r="DC21" s="3"/>
      <c r="DD21" s="80">
        <f t="shared" si="5"/>
        <v>200</v>
      </c>
      <c r="DF21" s="3">
        <v>200</v>
      </c>
      <c r="DG21" s="3"/>
      <c r="DH21" s="3"/>
      <c r="DI21" s="80">
        <f t="shared" si="6"/>
        <v>200</v>
      </c>
      <c r="DL21" s="3">
        <v>200</v>
      </c>
      <c r="DM21" s="3"/>
      <c r="DN21" s="80">
        <f t="shared" si="7"/>
        <v>200</v>
      </c>
      <c r="DP21" s="3"/>
      <c r="DQ21" s="3"/>
      <c r="DR21" s="3"/>
      <c r="DS21" s="80">
        <f t="shared" si="8"/>
        <v>0</v>
      </c>
      <c r="DT21" s="12">
        <f t="shared" si="9"/>
        <v>3163</v>
      </c>
      <c r="DU21" s="3">
        <v>250</v>
      </c>
      <c r="DV21" s="3"/>
      <c r="DW21" s="3"/>
      <c r="DX21" s="3"/>
      <c r="DY21" s="80">
        <f t="shared" si="26"/>
        <v>250</v>
      </c>
      <c r="DZ21" s="3">
        <v>250</v>
      </c>
      <c r="EA21" s="3"/>
      <c r="EB21" s="3"/>
      <c r="EC21" s="3"/>
      <c r="ED21" s="80">
        <f t="shared" si="27"/>
        <v>250</v>
      </c>
      <c r="EE21" s="3">
        <v>306</v>
      </c>
      <c r="EF21" s="3"/>
      <c r="EG21" s="3"/>
      <c r="EH21" s="3"/>
      <c r="EI21" s="80">
        <f t="shared" si="28"/>
        <v>306</v>
      </c>
      <c r="EJ21" s="3">
        <v>306</v>
      </c>
      <c r="EK21" s="3"/>
      <c r="EL21" s="3"/>
      <c r="EM21" s="3"/>
      <c r="EN21" s="80">
        <f t="shared" si="29"/>
        <v>306</v>
      </c>
      <c r="EO21" s="3">
        <v>357</v>
      </c>
      <c r="EP21" s="3"/>
      <c r="EQ21" s="3"/>
      <c r="ER21" s="3"/>
      <c r="ES21" s="80">
        <f t="shared" si="30"/>
        <v>357</v>
      </c>
      <c r="ET21" s="3">
        <v>408</v>
      </c>
      <c r="EU21" s="3"/>
      <c r="EV21" s="3"/>
      <c r="EW21" s="3"/>
      <c r="EX21" s="80">
        <f t="shared" si="31"/>
        <v>408</v>
      </c>
      <c r="EY21" s="3">
        <v>357</v>
      </c>
      <c r="EZ21" s="3"/>
      <c r="FA21" s="3"/>
      <c r="FB21" s="3"/>
      <c r="FC21" s="80">
        <f t="shared" si="32"/>
        <v>357</v>
      </c>
      <c r="FD21" s="3">
        <v>357</v>
      </c>
      <c r="FE21" s="3"/>
      <c r="FF21" s="3"/>
      <c r="FG21" s="3"/>
      <c r="FH21" s="80">
        <f t="shared" si="33"/>
        <v>357</v>
      </c>
      <c r="FI21" s="3">
        <v>306</v>
      </c>
      <c r="FJ21" s="3"/>
      <c r="FK21" s="3"/>
      <c r="FL21" s="3"/>
      <c r="FM21" s="80">
        <f t="shared" si="34"/>
        <v>306</v>
      </c>
      <c r="FN21" s="3">
        <v>306</v>
      </c>
      <c r="FO21" s="3"/>
      <c r="FP21" s="3"/>
      <c r="FQ21" s="3"/>
      <c r="FR21" s="80">
        <f t="shared" si="35"/>
        <v>306</v>
      </c>
      <c r="FS21" s="3">
        <v>306</v>
      </c>
      <c r="FT21" s="3"/>
      <c r="FU21" s="3"/>
      <c r="FV21" s="3"/>
      <c r="FW21" s="80">
        <f t="shared" si="36"/>
        <v>306</v>
      </c>
      <c r="FX21" s="3">
        <v>306</v>
      </c>
      <c r="FY21" s="3"/>
      <c r="FZ21" s="3"/>
      <c r="GA21" s="3"/>
      <c r="GB21" s="80">
        <f t="shared" si="37"/>
        <v>306</v>
      </c>
      <c r="GC21" s="12">
        <f t="shared" si="39"/>
        <v>3815</v>
      </c>
    </row>
    <row r="22" spans="1:185" x14ac:dyDescent="0.35">
      <c r="A22" s="1" t="s">
        <v>16</v>
      </c>
      <c r="B22" s="1" t="s">
        <v>28</v>
      </c>
      <c r="G22" s="80">
        <f t="shared" si="10"/>
        <v>0</v>
      </c>
      <c r="H22" s="3"/>
      <c r="I22" s="3"/>
      <c r="J22" s="3"/>
      <c r="K22" s="3"/>
      <c r="L22" s="80">
        <f t="shared" si="11"/>
        <v>0</v>
      </c>
      <c r="M22" s="3"/>
      <c r="N22" s="3"/>
      <c r="O22" s="3"/>
      <c r="P22" s="3">
        <v>255</v>
      </c>
      <c r="Q22" s="80">
        <f t="shared" si="12"/>
        <v>255</v>
      </c>
      <c r="R22" s="3"/>
      <c r="S22" s="3"/>
      <c r="T22" s="3"/>
      <c r="U22" s="3"/>
      <c r="V22" s="80">
        <f t="shared" si="13"/>
        <v>0</v>
      </c>
      <c r="W22" s="3"/>
      <c r="X22" s="3"/>
      <c r="Y22" s="3"/>
      <c r="Z22" s="3"/>
      <c r="AA22" s="80">
        <f t="shared" si="14"/>
        <v>0</v>
      </c>
      <c r="AB22" s="3"/>
      <c r="AC22" s="3"/>
      <c r="AD22" s="3"/>
      <c r="AE22" s="3"/>
      <c r="AF22" s="80">
        <f t="shared" si="15"/>
        <v>0</v>
      </c>
      <c r="AG22" s="3"/>
      <c r="AH22" s="3"/>
      <c r="AI22" s="3"/>
      <c r="AJ22" s="3"/>
      <c r="AK22" s="80">
        <f t="shared" si="16"/>
        <v>0</v>
      </c>
      <c r="AL22" s="3"/>
      <c r="AM22" s="3"/>
      <c r="AN22" s="3"/>
      <c r="AO22" s="3"/>
      <c r="AP22" s="80">
        <f t="shared" si="17"/>
        <v>0</v>
      </c>
      <c r="AQ22" s="3"/>
      <c r="AR22" s="3"/>
      <c r="AS22" s="3"/>
      <c r="AT22" s="3"/>
      <c r="AU22" s="80">
        <f t="shared" si="18"/>
        <v>0</v>
      </c>
      <c r="AV22" s="3"/>
      <c r="AW22" s="3"/>
      <c r="AX22" s="3"/>
      <c r="AY22" s="3"/>
      <c r="AZ22" s="80">
        <f t="shared" si="19"/>
        <v>0</v>
      </c>
      <c r="BA22" s="3"/>
      <c r="BC22" s="3"/>
      <c r="BD22" s="3"/>
      <c r="BE22" s="80">
        <f t="shared" si="20"/>
        <v>0</v>
      </c>
      <c r="BF22" s="3"/>
      <c r="BG22" s="3"/>
      <c r="BH22" s="3"/>
      <c r="BI22" s="3"/>
      <c r="BJ22" s="80">
        <f t="shared" si="21"/>
        <v>0</v>
      </c>
      <c r="BK22" s="12">
        <f t="shared" si="22"/>
        <v>255</v>
      </c>
      <c r="BL22" s="3" t="s">
        <v>48</v>
      </c>
      <c r="BM22" s="3"/>
      <c r="BN22" s="3"/>
      <c r="BO22" s="3"/>
      <c r="BP22" s="80">
        <f t="shared" si="0"/>
        <v>0</v>
      </c>
      <c r="BQ22" s="3"/>
      <c r="BR22" s="3"/>
      <c r="BS22" s="3"/>
      <c r="BT22" s="3"/>
      <c r="BU22" s="80">
        <f t="shared" si="23"/>
        <v>0</v>
      </c>
      <c r="BV22" s="3"/>
      <c r="BW22" s="3"/>
      <c r="BX22" s="3"/>
      <c r="BY22" s="3"/>
      <c r="BZ22" s="80">
        <f t="shared" si="1"/>
        <v>0</v>
      </c>
      <c r="CB22" s="3"/>
      <c r="CC22" s="3"/>
      <c r="CD22" s="3"/>
      <c r="CE22" s="80">
        <f t="shared" si="2"/>
        <v>0</v>
      </c>
      <c r="CG22" s="3"/>
      <c r="CH22" s="3"/>
      <c r="CI22" s="3"/>
      <c r="CJ22" s="80">
        <f t="shared" si="3"/>
        <v>0</v>
      </c>
      <c r="CK22" s="1">
        <v>150</v>
      </c>
      <c r="CL22" s="3"/>
      <c r="CM22" s="3"/>
      <c r="CN22" s="3"/>
      <c r="CO22" s="80">
        <f t="shared" si="4"/>
        <v>150</v>
      </c>
      <c r="CP22" s="1">
        <v>200</v>
      </c>
      <c r="CQ22" s="3"/>
      <c r="CR22" s="3"/>
      <c r="CS22" s="3"/>
      <c r="CT22" s="80">
        <f t="shared" si="24"/>
        <v>200</v>
      </c>
      <c r="CV22" s="3"/>
      <c r="CW22" s="3">
        <v>100</v>
      </c>
      <c r="CX22" s="3"/>
      <c r="CY22" s="80">
        <f t="shared" si="25"/>
        <v>100</v>
      </c>
      <c r="CZ22" s="3" t="s">
        <v>49</v>
      </c>
      <c r="DA22" s="3"/>
      <c r="DB22" s="3"/>
      <c r="DC22" s="3"/>
      <c r="DD22" s="80">
        <f t="shared" si="5"/>
        <v>0</v>
      </c>
      <c r="DF22" s="3">
        <v>120</v>
      </c>
      <c r="DG22" s="3"/>
      <c r="DH22" s="3"/>
      <c r="DI22" s="80">
        <f t="shared" si="6"/>
        <v>120</v>
      </c>
      <c r="DL22" s="3"/>
      <c r="DM22" s="3"/>
      <c r="DN22" s="80">
        <f t="shared" si="7"/>
        <v>0</v>
      </c>
      <c r="DP22" s="3" t="s">
        <v>50</v>
      </c>
      <c r="DQ22" s="3"/>
      <c r="DR22" s="3"/>
      <c r="DS22" s="80">
        <f t="shared" si="8"/>
        <v>0</v>
      </c>
      <c r="DT22" s="12">
        <f t="shared" si="9"/>
        <v>570</v>
      </c>
      <c r="DU22" s="3">
        <v>30</v>
      </c>
      <c r="DV22" s="3"/>
      <c r="DW22" s="3"/>
      <c r="DX22" s="3"/>
      <c r="DY22" s="80">
        <f t="shared" si="26"/>
        <v>30</v>
      </c>
      <c r="DZ22" s="3">
        <v>30</v>
      </c>
      <c r="EA22" s="3"/>
      <c r="EB22" s="3"/>
      <c r="EC22" s="3"/>
      <c r="ED22" s="80">
        <f t="shared" si="27"/>
        <v>30</v>
      </c>
      <c r="EE22" s="3">
        <v>204</v>
      </c>
      <c r="EF22" s="3"/>
      <c r="EG22" s="3"/>
      <c r="EH22" s="3"/>
      <c r="EI22" s="80">
        <f t="shared" si="28"/>
        <v>204</v>
      </c>
      <c r="EJ22" s="3">
        <v>51</v>
      </c>
      <c r="EK22" s="3"/>
      <c r="EL22" s="3"/>
      <c r="EM22" s="3"/>
      <c r="EN22" s="80">
        <f t="shared" si="29"/>
        <v>51</v>
      </c>
      <c r="EO22" s="3">
        <v>51</v>
      </c>
      <c r="EP22" s="3"/>
      <c r="EQ22" s="3"/>
      <c r="ER22" s="3"/>
      <c r="ES22" s="80">
        <f t="shared" si="30"/>
        <v>51</v>
      </c>
      <c r="ET22" s="3">
        <v>51</v>
      </c>
      <c r="EU22" s="3"/>
      <c r="EV22" s="3"/>
      <c r="EW22" s="3"/>
      <c r="EX22" s="80">
        <f t="shared" si="31"/>
        <v>51</v>
      </c>
      <c r="EY22" s="3">
        <v>51</v>
      </c>
      <c r="EZ22" s="3"/>
      <c r="FA22" s="3"/>
      <c r="FB22" s="3"/>
      <c r="FC22" s="80">
        <f t="shared" si="32"/>
        <v>51</v>
      </c>
      <c r="FD22" s="3">
        <v>51</v>
      </c>
      <c r="FE22" s="3"/>
      <c r="FF22" s="3"/>
      <c r="FG22" s="3"/>
      <c r="FH22" s="80">
        <f t="shared" si="33"/>
        <v>51</v>
      </c>
      <c r="FI22" s="3">
        <v>51</v>
      </c>
      <c r="FJ22" s="3"/>
      <c r="FK22" s="3"/>
      <c r="FL22" s="3"/>
      <c r="FM22" s="80">
        <f t="shared" si="34"/>
        <v>51</v>
      </c>
      <c r="FN22" s="3">
        <v>40.799999999999997</v>
      </c>
      <c r="FO22" s="3"/>
      <c r="FP22" s="3"/>
      <c r="FQ22" s="3"/>
      <c r="FR22" s="80">
        <f t="shared" si="35"/>
        <v>40.799999999999997</v>
      </c>
      <c r="FS22" s="3">
        <v>40.799999999999997</v>
      </c>
      <c r="FT22" s="3"/>
      <c r="FU22" s="3"/>
      <c r="FV22" s="3"/>
      <c r="FW22" s="80">
        <f t="shared" si="36"/>
        <v>40.799999999999997</v>
      </c>
      <c r="FX22" s="3">
        <v>40.799999999999997</v>
      </c>
      <c r="FY22" s="3"/>
      <c r="FZ22" s="3"/>
      <c r="GA22" s="3"/>
      <c r="GB22" s="80">
        <f t="shared" si="37"/>
        <v>40.799999999999997</v>
      </c>
      <c r="GC22" s="12">
        <f t="shared" si="39"/>
        <v>692.39999999999986</v>
      </c>
    </row>
    <row r="23" spans="1:185" x14ac:dyDescent="0.35">
      <c r="A23" s="1" t="s">
        <v>16</v>
      </c>
      <c r="B23" s="1" t="s">
        <v>29</v>
      </c>
      <c r="G23" s="80">
        <f t="shared" si="10"/>
        <v>0</v>
      </c>
      <c r="H23" s="3"/>
      <c r="I23" s="3"/>
      <c r="J23" s="3"/>
      <c r="K23" s="3">
        <v>451</v>
      </c>
      <c r="L23" s="80">
        <f t="shared" si="11"/>
        <v>451</v>
      </c>
      <c r="M23" s="3"/>
      <c r="N23" s="3"/>
      <c r="O23" s="3"/>
      <c r="P23" s="3">
        <v>1185</v>
      </c>
      <c r="Q23" s="80">
        <f t="shared" si="12"/>
        <v>1185</v>
      </c>
      <c r="R23" s="3"/>
      <c r="S23" s="3"/>
      <c r="T23" s="3"/>
      <c r="U23" s="3"/>
      <c r="V23" s="80">
        <f t="shared" si="13"/>
        <v>0</v>
      </c>
      <c r="W23" s="3"/>
      <c r="X23" s="3"/>
      <c r="Y23" s="3"/>
      <c r="Z23" s="3"/>
      <c r="AA23" s="80">
        <f t="shared" si="14"/>
        <v>0</v>
      </c>
      <c r="AB23" s="3"/>
      <c r="AC23" s="3"/>
      <c r="AD23" s="3"/>
      <c r="AE23" s="3"/>
      <c r="AF23" s="80">
        <f t="shared" si="15"/>
        <v>0</v>
      </c>
      <c r="AG23" s="3"/>
      <c r="AH23" s="3"/>
      <c r="AI23" s="3"/>
      <c r="AJ23" s="3">
        <v>688</v>
      </c>
      <c r="AK23" s="80">
        <f t="shared" si="16"/>
        <v>688</v>
      </c>
      <c r="AL23" s="3"/>
      <c r="AM23" s="3"/>
      <c r="AN23" s="3">
        <v>397</v>
      </c>
      <c r="AO23" s="3"/>
      <c r="AP23" s="80">
        <f t="shared" si="17"/>
        <v>397</v>
      </c>
      <c r="AQ23" s="3"/>
      <c r="AR23" s="3">
        <v>602</v>
      </c>
      <c r="AS23" s="3"/>
      <c r="AT23" s="3"/>
      <c r="AU23" s="80">
        <f t="shared" si="18"/>
        <v>602</v>
      </c>
      <c r="AV23" s="3"/>
      <c r="AW23" s="3"/>
      <c r="AX23" s="3"/>
      <c r="AY23" s="3"/>
      <c r="AZ23" s="80">
        <f t="shared" si="19"/>
        <v>0</v>
      </c>
      <c r="BA23" s="3">
        <v>406</v>
      </c>
      <c r="BC23" s="128">
        <v>296</v>
      </c>
      <c r="BD23" s="3">
        <v>245</v>
      </c>
      <c r="BE23" s="80">
        <f>SUM(BA23:BD23)</f>
        <v>947</v>
      </c>
      <c r="BG23" s="3"/>
      <c r="BH23" s="3"/>
      <c r="BI23" s="3"/>
      <c r="BJ23" s="80">
        <f t="shared" si="21"/>
        <v>0</v>
      </c>
      <c r="BK23" s="12">
        <f t="shared" si="22"/>
        <v>4270</v>
      </c>
      <c r="BL23" s="3" t="s">
        <v>48</v>
      </c>
      <c r="BM23" s="3"/>
      <c r="BN23" s="3"/>
      <c r="BO23" s="3"/>
      <c r="BP23" s="80">
        <f t="shared" si="0"/>
        <v>0</v>
      </c>
      <c r="BQ23" s="3"/>
      <c r="BR23" s="3"/>
      <c r="BS23" s="3">
        <v>544</v>
      </c>
      <c r="BT23" s="3"/>
      <c r="BU23" s="80">
        <f t="shared" si="23"/>
        <v>544</v>
      </c>
      <c r="BV23" s="3"/>
      <c r="BW23" s="3"/>
      <c r="BX23" s="3">
        <v>450</v>
      </c>
      <c r="BY23" s="3"/>
      <c r="BZ23" s="80">
        <f t="shared" si="1"/>
        <v>450</v>
      </c>
      <c r="CC23" s="3">
        <v>300</v>
      </c>
      <c r="CD23" s="3"/>
      <c r="CE23" s="80">
        <f t="shared" si="2"/>
        <v>300</v>
      </c>
      <c r="CG23" s="3"/>
      <c r="CH23" s="3">
        <v>500</v>
      </c>
      <c r="CI23" s="3"/>
      <c r="CJ23" s="80">
        <f t="shared" si="3"/>
        <v>500</v>
      </c>
      <c r="CL23" s="3"/>
      <c r="CM23" s="3">
        <v>400</v>
      </c>
      <c r="CN23" s="3"/>
      <c r="CO23" s="80">
        <f t="shared" si="4"/>
        <v>400</v>
      </c>
      <c r="CQ23" s="3"/>
      <c r="CR23" s="3">
        <v>250</v>
      </c>
      <c r="CS23" s="3"/>
      <c r="CT23" s="80">
        <f t="shared" si="24"/>
        <v>250</v>
      </c>
      <c r="CV23" s="3"/>
      <c r="CW23" s="3">
        <v>250</v>
      </c>
      <c r="CX23" s="3"/>
      <c r="CY23" s="80">
        <f t="shared" si="25"/>
        <v>250</v>
      </c>
      <c r="DA23" s="3">
        <v>250</v>
      </c>
      <c r="DB23" s="3"/>
      <c r="DC23" s="3"/>
      <c r="DD23" s="80">
        <f t="shared" si="5"/>
        <v>250</v>
      </c>
      <c r="DF23" s="3"/>
      <c r="DG23" s="3">
        <v>250</v>
      </c>
      <c r="DH23" s="3"/>
      <c r="DI23" s="80">
        <f t="shared" si="6"/>
        <v>250</v>
      </c>
      <c r="DL23" s="3">
        <v>250</v>
      </c>
      <c r="DM23" s="3"/>
      <c r="DN23" s="80">
        <f t="shared" si="7"/>
        <v>250</v>
      </c>
      <c r="DP23" s="3">
        <v>250</v>
      </c>
      <c r="DQ23" s="3"/>
      <c r="DR23" s="3"/>
      <c r="DS23" s="80">
        <f t="shared" si="8"/>
        <v>250</v>
      </c>
      <c r="DT23" s="12">
        <f t="shared" si="9"/>
        <v>3694</v>
      </c>
      <c r="DU23" s="3">
        <v>400</v>
      </c>
      <c r="DV23" s="3"/>
      <c r="DW23" s="3"/>
      <c r="DX23" s="3"/>
      <c r="DY23" s="80">
        <f t="shared" si="26"/>
        <v>400</v>
      </c>
      <c r="DZ23" s="3">
        <v>300</v>
      </c>
      <c r="EA23" s="3"/>
      <c r="EB23" s="3"/>
      <c r="EC23" s="3"/>
      <c r="ED23" s="80">
        <f t="shared" si="27"/>
        <v>300</v>
      </c>
      <c r="EE23" s="3">
        <v>306</v>
      </c>
      <c r="EF23" s="3"/>
      <c r="EG23" s="3"/>
      <c r="EH23" s="3"/>
      <c r="EI23" s="80">
        <f t="shared" si="28"/>
        <v>306</v>
      </c>
      <c r="EJ23" s="3">
        <v>459</v>
      </c>
      <c r="EK23" s="3"/>
      <c r="EL23" s="3"/>
      <c r="EM23" s="3"/>
      <c r="EN23" s="80">
        <f t="shared" si="29"/>
        <v>459</v>
      </c>
      <c r="EO23" s="3">
        <v>510</v>
      </c>
      <c r="EP23" s="3"/>
      <c r="EQ23" s="3"/>
      <c r="ER23" s="3"/>
      <c r="ES23" s="80">
        <f t="shared" si="30"/>
        <v>510</v>
      </c>
      <c r="ET23" s="3">
        <v>510</v>
      </c>
      <c r="EU23" s="3"/>
      <c r="EV23" s="3"/>
      <c r="EW23" s="3"/>
      <c r="EX23" s="80">
        <f t="shared" si="31"/>
        <v>510</v>
      </c>
      <c r="EY23" s="3">
        <v>510</v>
      </c>
      <c r="EZ23" s="3"/>
      <c r="FA23" s="3"/>
      <c r="FB23" s="3"/>
      <c r="FC23" s="80">
        <f t="shared" si="32"/>
        <v>510</v>
      </c>
      <c r="FD23" s="3">
        <v>510</v>
      </c>
      <c r="FE23" s="3"/>
      <c r="FF23" s="3"/>
      <c r="FG23" s="3"/>
      <c r="FH23" s="80">
        <f t="shared" si="33"/>
        <v>510</v>
      </c>
      <c r="FI23" s="3">
        <v>408</v>
      </c>
      <c r="FJ23" s="3"/>
      <c r="FK23" s="3"/>
      <c r="FL23" s="3"/>
      <c r="FM23" s="80">
        <f t="shared" si="34"/>
        <v>408</v>
      </c>
      <c r="FN23" s="3">
        <v>357</v>
      </c>
      <c r="FO23" s="3"/>
      <c r="FP23" s="3"/>
      <c r="FQ23" s="3"/>
      <c r="FR23" s="80">
        <f t="shared" si="35"/>
        <v>357</v>
      </c>
      <c r="FS23" s="3">
        <v>255</v>
      </c>
      <c r="FT23" s="3"/>
      <c r="FU23" s="3"/>
      <c r="FV23" s="3"/>
      <c r="FW23" s="80">
        <f t="shared" si="36"/>
        <v>255</v>
      </c>
      <c r="FX23" s="3">
        <v>255</v>
      </c>
      <c r="FY23" s="3"/>
      <c r="FZ23" s="3"/>
      <c r="GA23" s="3"/>
      <c r="GB23" s="80">
        <f t="shared" si="37"/>
        <v>255</v>
      </c>
      <c r="GC23" s="12">
        <f t="shared" si="39"/>
        <v>4780</v>
      </c>
    </row>
    <row r="24" spans="1:185" x14ac:dyDescent="0.35">
      <c r="A24" s="1" t="s">
        <v>16</v>
      </c>
      <c r="B24" s="1" t="s">
        <v>30</v>
      </c>
      <c r="F24" s="1">
        <v>10003</v>
      </c>
      <c r="G24" s="80">
        <f t="shared" si="10"/>
        <v>10003</v>
      </c>
      <c r="H24" s="3"/>
      <c r="I24" s="3"/>
      <c r="J24" s="3"/>
      <c r="K24" s="3">
        <v>6416</v>
      </c>
      <c r="L24" s="80">
        <f t="shared" si="11"/>
        <v>6416</v>
      </c>
      <c r="M24" s="3"/>
      <c r="N24" s="3"/>
      <c r="O24" s="3"/>
      <c r="P24" s="3">
        <v>10202</v>
      </c>
      <c r="Q24" s="80">
        <f t="shared" si="12"/>
        <v>10202</v>
      </c>
      <c r="R24" s="3"/>
      <c r="S24" s="3"/>
      <c r="T24" s="3"/>
      <c r="U24" s="3"/>
      <c r="V24" s="80">
        <f t="shared" si="13"/>
        <v>0</v>
      </c>
      <c r="W24" s="3"/>
      <c r="X24" s="3"/>
      <c r="Y24" s="3"/>
      <c r="Z24" s="3">
        <v>4358</v>
      </c>
      <c r="AA24" s="80">
        <f t="shared" si="14"/>
        <v>4358</v>
      </c>
      <c r="AB24" s="3"/>
      <c r="AC24" s="3"/>
      <c r="AD24" s="3"/>
      <c r="AE24" s="3">
        <v>4073</v>
      </c>
      <c r="AF24" s="80">
        <f t="shared" si="15"/>
        <v>4073</v>
      </c>
      <c r="AG24" s="3"/>
      <c r="AH24" s="3"/>
      <c r="AI24" s="3"/>
      <c r="AJ24" s="3">
        <v>3274</v>
      </c>
      <c r="AK24" s="80">
        <f t="shared" si="16"/>
        <v>3274</v>
      </c>
      <c r="AL24" s="3">
        <v>1000</v>
      </c>
      <c r="AM24" s="3">
        <v>5000</v>
      </c>
      <c r="AN24" s="3">
        <v>1002</v>
      </c>
      <c r="AO24" s="3"/>
      <c r="AP24" s="80">
        <f t="shared" si="17"/>
        <v>7002</v>
      </c>
      <c r="AQ24" s="3">
        <v>5600</v>
      </c>
      <c r="AR24" s="3">
        <v>2400</v>
      </c>
      <c r="AS24" s="3"/>
      <c r="AT24" s="3"/>
      <c r="AU24" s="80">
        <f t="shared" si="18"/>
        <v>8000</v>
      </c>
      <c r="AV24" s="3"/>
      <c r="AW24" s="3">
        <v>5500</v>
      </c>
      <c r="AX24" s="3">
        <v>4010</v>
      </c>
      <c r="AY24" s="3"/>
      <c r="AZ24" s="80">
        <f t="shared" si="19"/>
        <v>9510</v>
      </c>
      <c r="BB24" s="3">
        <v>5445</v>
      </c>
      <c r="BC24" s="3">
        <v>4000</v>
      </c>
      <c r="BD24" s="3">
        <v>3586</v>
      </c>
      <c r="BE24" s="80">
        <f>SUM(BA24:BD24)</f>
        <v>13031</v>
      </c>
      <c r="BG24" s="3"/>
      <c r="BH24" s="3"/>
      <c r="BI24" s="3"/>
      <c r="BJ24" s="80">
        <f t="shared" si="21"/>
        <v>0</v>
      </c>
      <c r="BK24" s="12">
        <f t="shared" si="22"/>
        <v>75869</v>
      </c>
      <c r="BL24" s="3">
        <v>2500</v>
      </c>
      <c r="BM24" s="3">
        <v>4000</v>
      </c>
      <c r="BN24" s="3">
        <v>524</v>
      </c>
      <c r="BO24" s="3"/>
      <c r="BP24" s="80">
        <f t="shared" si="0"/>
        <v>7024</v>
      </c>
      <c r="BQ24" s="3">
        <v>4000</v>
      </c>
      <c r="BR24" s="3">
        <v>4001</v>
      </c>
      <c r="BS24" s="3"/>
      <c r="BT24" s="3"/>
      <c r="BU24" s="80">
        <f t="shared" si="23"/>
        <v>8001</v>
      </c>
      <c r="BV24" s="3">
        <v>4000</v>
      </c>
      <c r="BW24" s="3">
        <v>4000</v>
      </c>
      <c r="BX24" s="3"/>
      <c r="BY24" s="3"/>
      <c r="BZ24" s="80">
        <f t="shared" si="1"/>
        <v>8000</v>
      </c>
      <c r="CA24" s="3">
        <v>4000</v>
      </c>
      <c r="CB24" s="3">
        <v>4000</v>
      </c>
      <c r="CD24" s="3"/>
      <c r="CE24" s="80">
        <f t="shared" si="2"/>
        <v>8000</v>
      </c>
      <c r="CF24" s="3">
        <v>4000</v>
      </c>
      <c r="CG24" s="3">
        <v>4000</v>
      </c>
      <c r="CH24" s="3"/>
      <c r="CI24" s="3"/>
      <c r="CJ24" s="80">
        <f t="shared" si="3"/>
        <v>8000</v>
      </c>
      <c r="CK24" s="3">
        <v>4000</v>
      </c>
      <c r="CL24" s="3">
        <v>4000</v>
      </c>
      <c r="CM24" s="3"/>
      <c r="CN24" s="3"/>
      <c r="CO24" s="80">
        <f t="shared" si="4"/>
        <v>8000</v>
      </c>
      <c r="CP24" s="3">
        <v>4000</v>
      </c>
      <c r="CQ24" s="3">
        <v>4000</v>
      </c>
      <c r="CR24" s="3"/>
      <c r="CS24" s="3"/>
      <c r="CT24" s="80">
        <f t="shared" si="24"/>
        <v>8000</v>
      </c>
      <c r="CU24" s="3">
        <v>4000</v>
      </c>
      <c r="CV24" s="3">
        <v>4000</v>
      </c>
      <c r="CW24" s="3"/>
      <c r="CX24" s="3"/>
      <c r="CY24" s="80">
        <f t="shared" si="25"/>
        <v>8000</v>
      </c>
      <c r="CZ24" s="3">
        <v>4000</v>
      </c>
      <c r="DA24" s="3">
        <v>5000</v>
      </c>
      <c r="DB24" s="3"/>
      <c r="DC24" s="3"/>
      <c r="DD24" s="80">
        <f t="shared" si="5"/>
        <v>9000</v>
      </c>
      <c r="DE24" s="3">
        <v>4000</v>
      </c>
      <c r="DF24" s="3">
        <v>4000</v>
      </c>
      <c r="DG24" s="3"/>
      <c r="DH24" s="3"/>
      <c r="DI24" s="80">
        <f t="shared" si="6"/>
        <v>8000</v>
      </c>
      <c r="DJ24" s="3">
        <v>4000</v>
      </c>
      <c r="DK24" s="3">
        <v>4000</v>
      </c>
      <c r="DL24" s="3"/>
      <c r="DM24" s="3"/>
      <c r="DN24" s="80">
        <f t="shared" si="7"/>
        <v>8000</v>
      </c>
      <c r="DO24" s="3">
        <v>4000</v>
      </c>
      <c r="DP24" s="3">
        <v>2000</v>
      </c>
      <c r="DQ24" s="3"/>
      <c r="DR24" s="3"/>
      <c r="DS24" s="80">
        <f t="shared" si="8"/>
        <v>6000</v>
      </c>
      <c r="DT24" s="12">
        <f t="shared" si="9"/>
        <v>94025</v>
      </c>
      <c r="DU24" s="3">
        <v>7500</v>
      </c>
      <c r="DV24" s="3"/>
      <c r="DW24" s="3"/>
      <c r="DX24" s="3"/>
      <c r="DY24" s="80">
        <f t="shared" si="26"/>
        <v>7500</v>
      </c>
      <c r="DZ24" s="3">
        <v>8000</v>
      </c>
      <c r="EA24" s="3"/>
      <c r="EB24" s="3"/>
      <c r="EC24" s="3"/>
      <c r="ED24" s="80">
        <f t="shared" si="27"/>
        <v>8000</v>
      </c>
      <c r="EE24" s="3">
        <v>7140</v>
      </c>
      <c r="EF24" s="3"/>
      <c r="EG24" s="3"/>
      <c r="EH24" s="3"/>
      <c r="EI24" s="80">
        <f t="shared" si="28"/>
        <v>7140</v>
      </c>
      <c r="EJ24" s="3">
        <v>7140</v>
      </c>
      <c r="EK24" s="3"/>
      <c r="EL24" s="3"/>
      <c r="EM24" s="3"/>
      <c r="EN24" s="80">
        <f t="shared" si="29"/>
        <v>7140</v>
      </c>
      <c r="EO24" s="3">
        <v>7140</v>
      </c>
      <c r="EP24" s="3"/>
      <c r="EQ24" s="3"/>
      <c r="ER24" s="3"/>
      <c r="ES24" s="80">
        <f t="shared" si="30"/>
        <v>7140</v>
      </c>
      <c r="ET24" s="3">
        <v>7140</v>
      </c>
      <c r="EU24" s="3"/>
      <c r="EV24" s="3"/>
      <c r="EW24" s="3"/>
      <c r="EX24" s="80">
        <f t="shared" si="31"/>
        <v>7140</v>
      </c>
      <c r="EY24" s="3">
        <v>7140</v>
      </c>
      <c r="EZ24" s="3"/>
      <c r="FA24" s="3"/>
      <c r="FB24" s="3"/>
      <c r="FC24" s="80">
        <f t="shared" si="32"/>
        <v>7140</v>
      </c>
      <c r="FD24" s="3">
        <v>7140</v>
      </c>
      <c r="FE24" s="3"/>
      <c r="FF24" s="3"/>
      <c r="FG24" s="3"/>
      <c r="FH24" s="80">
        <f t="shared" si="33"/>
        <v>7140</v>
      </c>
      <c r="FI24" s="3">
        <v>7140</v>
      </c>
      <c r="FJ24" s="3"/>
      <c r="FK24" s="3"/>
      <c r="FL24" s="3"/>
      <c r="FM24" s="80">
        <f t="shared" si="34"/>
        <v>7140</v>
      </c>
      <c r="FN24" s="3">
        <v>5610</v>
      </c>
      <c r="FO24" s="3"/>
      <c r="FP24" s="3"/>
      <c r="FQ24" s="3"/>
      <c r="FR24" s="80">
        <f t="shared" si="35"/>
        <v>5610</v>
      </c>
      <c r="FS24" s="3">
        <v>5610</v>
      </c>
      <c r="FT24" s="3"/>
      <c r="FU24" s="3"/>
      <c r="FV24" s="3"/>
      <c r="FW24" s="80">
        <f t="shared" si="36"/>
        <v>5610</v>
      </c>
      <c r="FX24" s="3">
        <v>5100</v>
      </c>
      <c r="FY24" s="3"/>
      <c r="FZ24" s="3"/>
      <c r="GA24" s="3"/>
      <c r="GB24" s="80">
        <f t="shared" si="37"/>
        <v>5100</v>
      </c>
      <c r="GC24" s="12">
        <f t="shared" si="39"/>
        <v>81800</v>
      </c>
    </row>
    <row r="25" spans="1:185" x14ac:dyDescent="0.35">
      <c r="A25" s="1" t="s">
        <v>16</v>
      </c>
      <c r="B25" s="1" t="s">
        <v>31</v>
      </c>
      <c r="G25" s="80"/>
      <c r="H25" s="3"/>
      <c r="I25" s="3"/>
      <c r="J25" s="3"/>
      <c r="K25" s="3"/>
      <c r="L25" s="80"/>
      <c r="M25" s="3"/>
      <c r="N25" s="3"/>
      <c r="O25" s="3"/>
      <c r="P25" s="3"/>
      <c r="Q25" s="80"/>
      <c r="R25" s="3"/>
      <c r="S25" s="3"/>
      <c r="T25" s="3"/>
      <c r="U25" s="3"/>
      <c r="V25" s="80"/>
      <c r="W25" s="3"/>
      <c r="X25" s="3"/>
      <c r="Y25" s="3"/>
      <c r="Z25" s="3"/>
      <c r="AA25" s="80"/>
      <c r="AB25" s="3"/>
      <c r="AC25" s="3"/>
      <c r="AD25" s="3"/>
      <c r="AE25" s="3"/>
      <c r="AF25" s="80"/>
      <c r="AG25" s="3"/>
      <c r="AH25" s="3"/>
      <c r="AI25" s="3"/>
      <c r="AJ25" s="3"/>
      <c r="AK25" s="80"/>
      <c r="AL25" s="3"/>
      <c r="AM25" s="3"/>
      <c r="AN25" s="3"/>
      <c r="AO25" s="3"/>
      <c r="AP25" s="80"/>
      <c r="AQ25" s="3"/>
      <c r="AR25" s="3"/>
      <c r="AS25" s="3"/>
      <c r="AT25" s="3"/>
      <c r="AU25" s="80"/>
      <c r="AV25" s="3"/>
      <c r="AW25" s="3"/>
      <c r="AX25" s="3"/>
      <c r="AY25" s="3"/>
      <c r="AZ25" s="80">
        <f t="shared" si="19"/>
        <v>0</v>
      </c>
      <c r="BA25" s="3"/>
      <c r="BB25" s="3"/>
      <c r="BC25" s="3"/>
      <c r="BD25" s="3"/>
      <c r="BE25" s="80">
        <f t="shared" si="20"/>
        <v>0</v>
      </c>
      <c r="BF25" s="3"/>
      <c r="BG25" s="3"/>
      <c r="BH25" s="3"/>
      <c r="BI25" s="3"/>
      <c r="BJ25" s="80">
        <f t="shared" si="21"/>
        <v>0</v>
      </c>
      <c r="BK25" s="12"/>
      <c r="BL25" s="3"/>
      <c r="BM25" s="3"/>
      <c r="BN25" s="3"/>
      <c r="BO25" s="3"/>
      <c r="BP25" s="80">
        <f t="shared" si="0"/>
        <v>0</v>
      </c>
      <c r="BQ25" s="3"/>
      <c r="BR25" s="3"/>
      <c r="BS25" s="3"/>
      <c r="BT25" s="3"/>
      <c r="BU25" s="80">
        <f t="shared" si="23"/>
        <v>0</v>
      </c>
      <c r="BV25" s="3"/>
      <c r="BW25" s="3"/>
      <c r="BX25" s="3"/>
      <c r="BY25" s="3"/>
      <c r="BZ25" s="80">
        <f t="shared" si="1"/>
        <v>0</v>
      </c>
      <c r="CA25" s="3"/>
      <c r="CB25" s="3"/>
      <c r="CC25" s="3"/>
      <c r="CD25" s="3"/>
      <c r="CE25" s="80">
        <f t="shared" si="2"/>
        <v>0</v>
      </c>
      <c r="CF25" s="3"/>
      <c r="CG25" s="3"/>
      <c r="CH25" s="3"/>
      <c r="CI25" s="3"/>
      <c r="CJ25" s="80">
        <f t="shared" si="3"/>
        <v>0</v>
      </c>
      <c r="CK25" s="3"/>
      <c r="CL25" s="3"/>
      <c r="CM25" s="3"/>
      <c r="CN25" s="3"/>
      <c r="CO25" s="80">
        <f t="shared" si="4"/>
        <v>0</v>
      </c>
      <c r="CP25" s="3"/>
      <c r="CQ25" s="3"/>
      <c r="CR25" s="3"/>
      <c r="CS25" s="3"/>
      <c r="CT25" s="80">
        <f t="shared" si="24"/>
        <v>0</v>
      </c>
      <c r="CU25" s="3"/>
      <c r="CV25" s="3"/>
      <c r="CW25" s="3"/>
      <c r="CX25" s="3"/>
      <c r="CY25" s="80">
        <f t="shared" si="25"/>
        <v>0</v>
      </c>
      <c r="CZ25" s="3"/>
      <c r="DA25" s="3"/>
      <c r="DB25" s="3"/>
      <c r="DC25" s="3"/>
      <c r="DD25" s="80">
        <f t="shared" si="5"/>
        <v>0</v>
      </c>
      <c r="DE25" s="3"/>
      <c r="DF25" s="3"/>
      <c r="DG25" s="3"/>
      <c r="DH25" s="3"/>
      <c r="DI25" s="80">
        <f t="shared" si="6"/>
        <v>0</v>
      </c>
      <c r="DJ25" s="3"/>
      <c r="DK25" s="3"/>
      <c r="DL25" s="3"/>
      <c r="DM25" s="3"/>
      <c r="DN25" s="80">
        <f t="shared" si="7"/>
        <v>0</v>
      </c>
      <c r="DO25" s="3"/>
      <c r="DP25" s="3"/>
      <c r="DQ25" s="3"/>
      <c r="DR25" s="3"/>
      <c r="DS25" s="80">
        <f t="shared" si="8"/>
        <v>0</v>
      </c>
      <c r="DT25" s="12"/>
      <c r="DU25" s="3"/>
      <c r="DV25" s="3"/>
      <c r="DW25" s="3"/>
      <c r="DX25" s="3"/>
      <c r="DY25" s="80">
        <f t="shared" si="26"/>
        <v>0</v>
      </c>
      <c r="DZ25" s="3"/>
      <c r="EA25" s="3"/>
      <c r="EB25" s="3"/>
      <c r="EC25" s="3"/>
      <c r="ED25" s="80">
        <f t="shared" si="27"/>
        <v>0</v>
      </c>
      <c r="EE25" s="3"/>
      <c r="EF25" s="3"/>
      <c r="EG25" s="3"/>
      <c r="EH25" s="3"/>
      <c r="EI25" s="80">
        <f t="shared" si="28"/>
        <v>0</v>
      </c>
      <c r="EJ25" s="3"/>
      <c r="EK25" s="3"/>
      <c r="EL25" s="3"/>
      <c r="EM25" s="3"/>
      <c r="EN25" s="80">
        <f t="shared" si="29"/>
        <v>0</v>
      </c>
      <c r="EO25" s="3"/>
      <c r="EP25" s="3"/>
      <c r="EQ25" s="3"/>
      <c r="ER25" s="3"/>
      <c r="ES25" s="80">
        <f t="shared" si="30"/>
        <v>0</v>
      </c>
      <c r="ET25" s="3"/>
      <c r="EU25" s="3"/>
      <c r="EV25" s="3"/>
      <c r="EW25" s="3"/>
      <c r="EX25" s="80">
        <f t="shared" si="31"/>
        <v>0</v>
      </c>
      <c r="EY25" s="3"/>
      <c r="EZ25" s="3"/>
      <c r="FA25" s="3"/>
      <c r="FB25" s="3"/>
      <c r="FC25" s="80">
        <f t="shared" si="32"/>
        <v>0</v>
      </c>
      <c r="FD25" s="3"/>
      <c r="FE25" s="3"/>
      <c r="FF25" s="3"/>
      <c r="FG25" s="3"/>
      <c r="FH25" s="80">
        <f t="shared" si="33"/>
        <v>0</v>
      </c>
      <c r="FI25" s="3"/>
      <c r="FJ25" s="3"/>
      <c r="FK25" s="3"/>
      <c r="FL25" s="3"/>
      <c r="FM25" s="80">
        <f t="shared" si="34"/>
        <v>0</v>
      </c>
      <c r="FN25" s="3"/>
      <c r="FO25" s="3"/>
      <c r="FP25" s="3"/>
      <c r="FQ25" s="3"/>
      <c r="FR25" s="80">
        <f t="shared" si="35"/>
        <v>0</v>
      </c>
      <c r="FS25" s="3"/>
      <c r="FT25" s="3"/>
      <c r="FU25" s="3"/>
      <c r="FV25" s="3"/>
      <c r="FW25" s="80">
        <f t="shared" si="36"/>
        <v>0</v>
      </c>
      <c r="FX25" s="3"/>
      <c r="FY25" s="3"/>
      <c r="FZ25" s="3"/>
      <c r="GA25" s="3"/>
      <c r="GB25" s="80">
        <f t="shared" si="37"/>
        <v>0</v>
      </c>
      <c r="GC25" s="12">
        <f t="shared" si="39"/>
        <v>0</v>
      </c>
    </row>
    <row r="26" spans="1:185" x14ac:dyDescent="0.35">
      <c r="A26" s="1" t="s">
        <v>16</v>
      </c>
      <c r="B26" s="1" t="s">
        <v>32</v>
      </c>
      <c r="G26" s="80"/>
      <c r="H26" s="3"/>
      <c r="I26" s="3"/>
      <c r="J26" s="3"/>
      <c r="K26" s="3"/>
      <c r="L26" s="80"/>
      <c r="M26" s="3"/>
      <c r="N26" s="3"/>
      <c r="O26" s="3"/>
      <c r="P26" s="3"/>
      <c r="Q26" s="80"/>
      <c r="R26" s="3"/>
      <c r="S26" s="3"/>
      <c r="T26" s="3"/>
      <c r="U26" s="3"/>
      <c r="V26" s="80"/>
      <c r="W26" s="3"/>
      <c r="X26" s="3"/>
      <c r="Y26" s="3"/>
      <c r="Z26" s="3"/>
      <c r="AA26" s="80"/>
      <c r="AB26" s="3"/>
      <c r="AC26" s="3"/>
      <c r="AD26" s="3"/>
      <c r="AE26" s="3"/>
      <c r="AF26" s="80"/>
      <c r="AG26" s="3"/>
      <c r="AH26" s="3"/>
      <c r="AI26" s="3"/>
      <c r="AJ26" s="3"/>
      <c r="AK26" s="80"/>
      <c r="AL26" s="3"/>
      <c r="AM26" s="3"/>
      <c r="AN26" s="3"/>
      <c r="AO26" s="3"/>
      <c r="AP26" s="80"/>
      <c r="AQ26" s="3"/>
      <c r="AR26" s="3"/>
      <c r="AS26" s="3"/>
      <c r="AT26" s="3"/>
      <c r="AU26" s="80"/>
      <c r="AV26" s="3"/>
      <c r="AW26" s="3"/>
      <c r="AX26" s="3"/>
      <c r="AY26" s="3"/>
      <c r="AZ26" s="80">
        <f t="shared" si="19"/>
        <v>0</v>
      </c>
      <c r="BA26" s="3"/>
      <c r="BB26" s="3"/>
      <c r="BC26" s="3"/>
      <c r="BD26" s="3"/>
      <c r="BE26" s="80">
        <f t="shared" si="20"/>
        <v>0</v>
      </c>
      <c r="BF26" s="3"/>
      <c r="BG26" s="3"/>
      <c r="BH26" s="3"/>
      <c r="BI26" s="3"/>
      <c r="BJ26" s="80">
        <f t="shared" si="21"/>
        <v>0</v>
      </c>
      <c r="BK26" s="12"/>
      <c r="BL26" s="3"/>
      <c r="BM26" s="3"/>
      <c r="BN26" s="3"/>
      <c r="BO26" s="3"/>
      <c r="BP26" s="80">
        <f t="shared" si="0"/>
        <v>0</v>
      </c>
      <c r="BQ26" s="3"/>
      <c r="BR26" s="3"/>
      <c r="BS26" s="3"/>
      <c r="BT26" s="3"/>
      <c r="BU26" s="80">
        <f t="shared" si="23"/>
        <v>0</v>
      </c>
      <c r="BV26" s="3"/>
      <c r="BW26" s="3"/>
      <c r="BX26" s="3"/>
      <c r="BY26" s="3"/>
      <c r="BZ26" s="80">
        <f t="shared" si="1"/>
        <v>0</v>
      </c>
      <c r="CA26" s="3"/>
      <c r="CB26" s="3"/>
      <c r="CC26" s="3"/>
      <c r="CD26" s="3"/>
      <c r="CE26" s="80">
        <f t="shared" si="2"/>
        <v>0</v>
      </c>
      <c r="CF26" s="3"/>
      <c r="CG26" s="3"/>
      <c r="CH26" s="3"/>
      <c r="CI26" s="3"/>
      <c r="CJ26" s="80">
        <f t="shared" si="3"/>
        <v>0</v>
      </c>
      <c r="CK26" s="3"/>
      <c r="CL26" s="3"/>
      <c r="CM26" s="3"/>
      <c r="CN26" s="3"/>
      <c r="CO26" s="80">
        <f t="shared" si="4"/>
        <v>0</v>
      </c>
      <c r="CP26" s="3"/>
      <c r="CQ26" s="3"/>
      <c r="CR26" s="3"/>
      <c r="CS26" s="3"/>
      <c r="CT26" s="80">
        <f t="shared" si="24"/>
        <v>0</v>
      </c>
      <c r="CU26" s="3"/>
      <c r="CV26" s="3"/>
      <c r="CW26" s="3"/>
      <c r="CX26" s="3"/>
      <c r="CY26" s="80">
        <f t="shared" si="25"/>
        <v>0</v>
      </c>
      <c r="CZ26" s="3"/>
      <c r="DA26" s="3"/>
      <c r="DB26" s="3"/>
      <c r="DC26" s="3"/>
      <c r="DD26" s="80">
        <f t="shared" si="5"/>
        <v>0</v>
      </c>
      <c r="DE26" s="3"/>
      <c r="DF26" s="3"/>
      <c r="DG26" s="3"/>
      <c r="DH26" s="3"/>
      <c r="DI26" s="80">
        <f t="shared" si="6"/>
        <v>0</v>
      </c>
      <c r="DJ26" s="3"/>
      <c r="DK26" s="3"/>
      <c r="DL26" s="3"/>
      <c r="DM26" s="3"/>
      <c r="DN26" s="80">
        <f t="shared" si="7"/>
        <v>0</v>
      </c>
      <c r="DO26" s="3"/>
      <c r="DP26" s="3"/>
      <c r="DQ26" s="3"/>
      <c r="DR26" s="3"/>
      <c r="DS26" s="80">
        <f t="shared" si="8"/>
        <v>0</v>
      </c>
      <c r="DT26" s="12"/>
      <c r="DU26" s="3"/>
      <c r="DV26" s="3"/>
      <c r="DW26" s="3"/>
      <c r="DX26" s="3"/>
      <c r="DY26" s="80">
        <f t="shared" si="26"/>
        <v>0</v>
      </c>
      <c r="DZ26" s="3"/>
      <c r="EA26" s="3"/>
      <c r="EB26" s="3"/>
      <c r="EC26" s="3"/>
      <c r="ED26" s="80">
        <f t="shared" si="27"/>
        <v>0</v>
      </c>
      <c r="EE26" s="3"/>
      <c r="EF26" s="3"/>
      <c r="EG26" s="3"/>
      <c r="EH26" s="3"/>
      <c r="EI26" s="80">
        <f t="shared" si="28"/>
        <v>0</v>
      </c>
      <c r="EJ26" s="3"/>
      <c r="EK26" s="3"/>
      <c r="EL26" s="3"/>
      <c r="EM26" s="3"/>
      <c r="EN26" s="80">
        <f t="shared" si="29"/>
        <v>0</v>
      </c>
      <c r="EO26" s="3"/>
      <c r="EP26" s="3"/>
      <c r="EQ26" s="3"/>
      <c r="ER26" s="3"/>
      <c r="ES26" s="80">
        <f t="shared" si="30"/>
        <v>0</v>
      </c>
      <c r="ET26" s="3"/>
      <c r="EU26" s="3"/>
      <c r="EV26" s="3"/>
      <c r="EW26" s="3"/>
      <c r="EX26" s="80">
        <f t="shared" si="31"/>
        <v>0</v>
      </c>
      <c r="EY26" s="3"/>
      <c r="EZ26" s="3"/>
      <c r="FA26" s="3"/>
      <c r="FB26" s="3"/>
      <c r="FC26" s="80">
        <f t="shared" si="32"/>
        <v>0</v>
      </c>
      <c r="FD26" s="3"/>
      <c r="FE26" s="3"/>
      <c r="FF26" s="3"/>
      <c r="FG26" s="3"/>
      <c r="FH26" s="80">
        <f t="shared" si="33"/>
        <v>0</v>
      </c>
      <c r="FI26" s="3"/>
      <c r="FJ26" s="3"/>
      <c r="FK26" s="3"/>
      <c r="FL26" s="3"/>
      <c r="FM26" s="80">
        <f t="shared" si="34"/>
        <v>0</v>
      </c>
      <c r="FN26" s="3"/>
      <c r="FO26" s="3"/>
      <c r="FP26" s="3"/>
      <c r="FQ26" s="3"/>
      <c r="FR26" s="80">
        <f t="shared" si="35"/>
        <v>0</v>
      </c>
      <c r="FS26" s="3"/>
      <c r="FT26" s="3"/>
      <c r="FU26" s="3"/>
      <c r="FV26" s="3"/>
      <c r="FW26" s="80">
        <f t="shared" si="36"/>
        <v>0</v>
      </c>
      <c r="FX26" s="3"/>
      <c r="FY26" s="3"/>
      <c r="FZ26" s="3"/>
      <c r="GA26" s="3"/>
      <c r="GB26" s="80">
        <f t="shared" si="37"/>
        <v>0</v>
      </c>
      <c r="GC26" s="12">
        <f t="shared" si="39"/>
        <v>0</v>
      </c>
    </row>
    <row r="27" spans="1:185" x14ac:dyDescent="0.35">
      <c r="A27" s="1" t="s">
        <v>16</v>
      </c>
      <c r="B27" s="1" t="s">
        <v>33</v>
      </c>
      <c r="G27" s="80"/>
      <c r="H27" s="3"/>
      <c r="I27" s="3"/>
      <c r="J27" s="3"/>
      <c r="K27" s="3"/>
      <c r="L27" s="80"/>
      <c r="M27" s="3"/>
      <c r="N27" s="3"/>
      <c r="O27" s="3"/>
      <c r="P27" s="3"/>
      <c r="Q27" s="80"/>
      <c r="R27" s="3"/>
      <c r="S27" s="3"/>
      <c r="T27" s="3"/>
      <c r="U27" s="3"/>
      <c r="V27" s="80"/>
      <c r="W27" s="3"/>
      <c r="X27" s="3"/>
      <c r="Y27" s="3"/>
      <c r="Z27" s="3"/>
      <c r="AA27" s="80"/>
      <c r="AB27" s="3"/>
      <c r="AC27" s="3"/>
      <c r="AD27" s="3"/>
      <c r="AE27" s="3"/>
      <c r="AF27" s="80"/>
      <c r="AG27" s="3"/>
      <c r="AH27" s="3"/>
      <c r="AI27" s="3"/>
      <c r="AJ27" s="3"/>
      <c r="AK27" s="80"/>
      <c r="AL27" s="3"/>
      <c r="AM27" s="3"/>
      <c r="AN27" s="3"/>
      <c r="AO27" s="3"/>
      <c r="AP27" s="80"/>
      <c r="AQ27" s="3"/>
      <c r="AR27" s="3"/>
      <c r="AS27" s="3"/>
      <c r="AT27" s="3"/>
      <c r="AU27" s="80"/>
      <c r="AV27" s="3"/>
      <c r="AW27" s="3"/>
      <c r="AX27" s="3"/>
      <c r="AY27" s="3"/>
      <c r="AZ27" s="80">
        <f t="shared" si="19"/>
        <v>0</v>
      </c>
      <c r="BA27" s="3"/>
      <c r="BB27" s="3"/>
      <c r="BC27" s="3"/>
      <c r="BD27" s="3"/>
      <c r="BE27" s="80">
        <f t="shared" si="20"/>
        <v>0</v>
      </c>
      <c r="BF27" s="3"/>
      <c r="BG27" s="3"/>
      <c r="BH27" s="3"/>
      <c r="BI27" s="3"/>
      <c r="BJ27" s="80">
        <f t="shared" si="21"/>
        <v>0</v>
      </c>
      <c r="BK27" s="12"/>
      <c r="BL27" s="3"/>
      <c r="BM27" s="3"/>
      <c r="BN27" s="3"/>
      <c r="BO27" s="3"/>
      <c r="BP27" s="80">
        <f t="shared" si="0"/>
        <v>0</v>
      </c>
      <c r="BQ27" s="3"/>
      <c r="BR27" s="3"/>
      <c r="BS27" s="3"/>
      <c r="BT27" s="3"/>
      <c r="BU27" s="80">
        <f t="shared" si="23"/>
        <v>0</v>
      </c>
      <c r="BV27" s="3"/>
      <c r="BW27" s="3"/>
      <c r="BX27" s="3"/>
      <c r="BY27" s="3"/>
      <c r="BZ27" s="80">
        <f t="shared" si="1"/>
        <v>0</v>
      </c>
      <c r="CA27" s="3"/>
      <c r="CB27" s="3"/>
      <c r="CC27" s="3"/>
      <c r="CD27" s="3"/>
      <c r="CE27" s="80">
        <f t="shared" si="2"/>
        <v>0</v>
      </c>
      <c r="CF27" s="3"/>
      <c r="CG27" s="3"/>
      <c r="CH27" s="3"/>
      <c r="CI27" s="3"/>
      <c r="CJ27" s="80">
        <f t="shared" si="3"/>
        <v>0</v>
      </c>
      <c r="CK27" s="3"/>
      <c r="CL27" s="3"/>
      <c r="CM27" s="3"/>
      <c r="CN27" s="3"/>
      <c r="CO27" s="80">
        <f t="shared" si="4"/>
        <v>0</v>
      </c>
      <c r="CP27" s="3"/>
      <c r="CQ27" s="3"/>
      <c r="CR27" s="3"/>
      <c r="CS27" s="3"/>
      <c r="CT27" s="80">
        <f t="shared" si="24"/>
        <v>0</v>
      </c>
      <c r="CU27" s="3"/>
      <c r="CV27" s="3"/>
      <c r="CW27" s="3"/>
      <c r="CX27" s="3"/>
      <c r="CY27" s="80">
        <f t="shared" si="25"/>
        <v>0</v>
      </c>
      <c r="CZ27" s="3"/>
      <c r="DA27" s="3"/>
      <c r="DB27" s="3"/>
      <c r="DC27" s="3"/>
      <c r="DD27" s="80">
        <f t="shared" si="5"/>
        <v>0</v>
      </c>
      <c r="DE27" s="3"/>
      <c r="DF27" s="3"/>
      <c r="DG27" s="3"/>
      <c r="DH27" s="3"/>
      <c r="DI27" s="80">
        <f t="shared" si="6"/>
        <v>0</v>
      </c>
      <c r="DJ27" s="3"/>
      <c r="DK27" s="3"/>
      <c r="DL27" s="3"/>
      <c r="DM27" s="3"/>
      <c r="DN27" s="80">
        <f t="shared" si="7"/>
        <v>0</v>
      </c>
      <c r="DO27" s="3"/>
      <c r="DP27" s="3"/>
      <c r="DQ27" s="3"/>
      <c r="DR27" s="3"/>
      <c r="DS27" s="80">
        <f t="shared" si="8"/>
        <v>0</v>
      </c>
      <c r="DT27" s="12"/>
      <c r="DU27" s="3"/>
      <c r="DV27" s="3"/>
      <c r="DW27" s="3"/>
      <c r="DX27" s="3"/>
      <c r="DY27" s="80">
        <f t="shared" si="26"/>
        <v>0</v>
      </c>
      <c r="DZ27" s="3"/>
      <c r="EA27" s="3"/>
      <c r="EB27" s="3"/>
      <c r="EC27" s="3"/>
      <c r="ED27" s="80">
        <f t="shared" si="27"/>
        <v>0</v>
      </c>
      <c r="EE27" s="3"/>
      <c r="EF27" s="3"/>
      <c r="EG27" s="3"/>
      <c r="EH27" s="3"/>
      <c r="EI27" s="80">
        <f t="shared" si="28"/>
        <v>0</v>
      </c>
      <c r="EJ27" s="3"/>
      <c r="EK27" s="3"/>
      <c r="EL27" s="3"/>
      <c r="EM27" s="3"/>
      <c r="EN27" s="80">
        <f t="shared" si="29"/>
        <v>0</v>
      </c>
      <c r="EO27" s="3"/>
      <c r="EP27" s="3"/>
      <c r="EQ27" s="3"/>
      <c r="ER27" s="3"/>
      <c r="ES27" s="80">
        <f t="shared" si="30"/>
        <v>0</v>
      </c>
      <c r="ET27" s="3"/>
      <c r="EU27" s="3"/>
      <c r="EV27" s="3"/>
      <c r="EW27" s="3"/>
      <c r="EX27" s="80">
        <f t="shared" si="31"/>
        <v>0</v>
      </c>
      <c r="EY27" s="3"/>
      <c r="EZ27" s="3"/>
      <c r="FA27" s="3"/>
      <c r="FB27" s="3"/>
      <c r="FC27" s="80">
        <f t="shared" si="32"/>
        <v>0</v>
      </c>
      <c r="FD27" s="3"/>
      <c r="FE27" s="3"/>
      <c r="FF27" s="3"/>
      <c r="FG27" s="3"/>
      <c r="FH27" s="80">
        <f t="shared" si="33"/>
        <v>0</v>
      </c>
      <c r="FI27" s="3"/>
      <c r="FJ27" s="3"/>
      <c r="FK27" s="3"/>
      <c r="FL27" s="3"/>
      <c r="FM27" s="80">
        <f t="shared" si="34"/>
        <v>0</v>
      </c>
      <c r="FN27" s="3"/>
      <c r="FO27" s="3"/>
      <c r="FP27" s="3"/>
      <c r="FQ27" s="3"/>
      <c r="FR27" s="80">
        <f t="shared" si="35"/>
        <v>0</v>
      </c>
      <c r="FS27" s="3"/>
      <c r="FT27" s="3"/>
      <c r="FU27" s="3"/>
      <c r="FV27" s="3"/>
      <c r="FW27" s="80">
        <f t="shared" si="36"/>
        <v>0</v>
      </c>
      <c r="FX27" s="3"/>
      <c r="FY27" s="3"/>
      <c r="FZ27" s="3"/>
      <c r="GA27" s="3"/>
      <c r="GB27" s="80">
        <f t="shared" si="37"/>
        <v>0</v>
      </c>
      <c r="GC27" s="12">
        <f t="shared" si="39"/>
        <v>0</v>
      </c>
    </row>
    <row r="28" spans="1:185" x14ac:dyDescent="0.35">
      <c r="A28" s="1" t="s">
        <v>10</v>
      </c>
      <c r="B28" s="1" t="s">
        <v>34</v>
      </c>
      <c r="G28" s="80"/>
      <c r="H28" s="3"/>
      <c r="I28" s="3"/>
      <c r="J28" s="3"/>
      <c r="K28" s="3"/>
      <c r="L28" s="80"/>
      <c r="M28" s="3"/>
      <c r="N28" s="3"/>
      <c r="O28" s="3"/>
      <c r="P28" s="3"/>
      <c r="Q28" s="80"/>
      <c r="R28" s="3"/>
      <c r="S28" s="3"/>
      <c r="T28" s="3"/>
      <c r="U28" s="3"/>
      <c r="V28" s="80"/>
      <c r="W28" s="3"/>
      <c r="X28" s="3"/>
      <c r="Y28" s="3"/>
      <c r="Z28" s="3"/>
      <c r="AA28" s="80"/>
      <c r="AB28" s="3"/>
      <c r="AC28" s="3"/>
      <c r="AD28" s="3"/>
      <c r="AE28" s="3"/>
      <c r="AF28" s="80"/>
      <c r="AG28" s="3"/>
      <c r="AH28" s="3"/>
      <c r="AI28" s="3"/>
      <c r="AJ28" s="3"/>
      <c r="AK28" s="80"/>
      <c r="AL28" s="3"/>
      <c r="AM28" s="3"/>
      <c r="AN28" s="3"/>
      <c r="AO28" s="3"/>
      <c r="AP28" s="80"/>
      <c r="AQ28" s="3"/>
      <c r="AR28" s="3"/>
      <c r="AS28" s="3"/>
      <c r="AT28" s="3"/>
      <c r="AU28" s="80"/>
      <c r="AV28" s="3"/>
      <c r="AW28" s="3"/>
      <c r="AX28" s="3"/>
      <c r="AY28" s="3"/>
      <c r="AZ28" s="80">
        <f t="shared" si="19"/>
        <v>0</v>
      </c>
      <c r="BA28" s="3"/>
      <c r="BB28" s="3"/>
      <c r="BC28" s="3"/>
      <c r="BD28" s="3"/>
      <c r="BE28" s="80">
        <f t="shared" si="20"/>
        <v>0</v>
      </c>
      <c r="BF28" s="3"/>
      <c r="BG28" s="3"/>
      <c r="BH28" s="3"/>
      <c r="BI28" s="3"/>
      <c r="BJ28" s="80">
        <f t="shared" si="21"/>
        <v>0</v>
      </c>
      <c r="BK28" s="12"/>
      <c r="BL28" s="3"/>
      <c r="BM28" s="3"/>
      <c r="BN28" s="3"/>
      <c r="BO28" s="3"/>
      <c r="BP28" s="80">
        <f t="shared" si="0"/>
        <v>0</v>
      </c>
      <c r="BQ28" s="3"/>
      <c r="BR28" s="3"/>
      <c r="BS28" s="3"/>
      <c r="BT28" s="3"/>
      <c r="BU28" s="80">
        <f t="shared" si="23"/>
        <v>0</v>
      </c>
      <c r="BV28" s="3"/>
      <c r="BW28" s="3"/>
      <c r="BX28" s="3"/>
      <c r="BY28" s="3"/>
      <c r="BZ28" s="80">
        <f t="shared" si="1"/>
        <v>0</v>
      </c>
      <c r="CA28" s="3"/>
      <c r="CB28" s="3"/>
      <c r="CC28" s="3"/>
      <c r="CD28" s="3"/>
      <c r="CE28" s="80">
        <f t="shared" si="2"/>
        <v>0</v>
      </c>
      <c r="CF28" s="3"/>
      <c r="CG28" s="3"/>
      <c r="CH28" s="3"/>
      <c r="CI28" s="3"/>
      <c r="CJ28" s="80">
        <f t="shared" si="3"/>
        <v>0</v>
      </c>
      <c r="CK28" s="3"/>
      <c r="CL28" s="3"/>
      <c r="CM28" s="3"/>
      <c r="CN28" s="3"/>
      <c r="CO28" s="80">
        <f t="shared" si="4"/>
        <v>0</v>
      </c>
      <c r="CP28" s="3"/>
      <c r="CQ28" s="3"/>
      <c r="CR28" s="3"/>
      <c r="CS28" s="3"/>
      <c r="CT28" s="80">
        <f t="shared" si="24"/>
        <v>0</v>
      </c>
      <c r="CU28" s="3"/>
      <c r="CV28" s="3"/>
      <c r="CW28" s="3"/>
      <c r="CX28" s="3"/>
      <c r="CY28" s="80">
        <f t="shared" si="25"/>
        <v>0</v>
      </c>
      <c r="CZ28" s="3"/>
      <c r="DA28" s="3"/>
      <c r="DB28" s="3"/>
      <c r="DC28" s="3"/>
      <c r="DD28" s="80">
        <f t="shared" si="5"/>
        <v>0</v>
      </c>
      <c r="DE28" s="3"/>
      <c r="DF28" s="3"/>
      <c r="DG28" s="3"/>
      <c r="DH28" s="3"/>
      <c r="DI28" s="80">
        <f t="shared" si="6"/>
        <v>0</v>
      </c>
      <c r="DJ28" s="3"/>
      <c r="DK28" s="3"/>
      <c r="DL28" s="3"/>
      <c r="DM28" s="3"/>
      <c r="DN28" s="80">
        <f t="shared" si="7"/>
        <v>0</v>
      </c>
      <c r="DO28" s="3"/>
      <c r="DP28" s="3"/>
      <c r="DQ28" s="3"/>
      <c r="DR28" s="3"/>
      <c r="DS28" s="80">
        <f t="shared" si="8"/>
        <v>0</v>
      </c>
      <c r="DT28" s="12"/>
      <c r="DU28" s="3"/>
      <c r="DV28" s="3"/>
      <c r="DW28" s="3"/>
      <c r="DX28" s="3"/>
      <c r="DY28" s="80">
        <f t="shared" si="26"/>
        <v>0</v>
      </c>
      <c r="DZ28" s="3"/>
      <c r="EA28" s="3"/>
      <c r="EB28" s="3"/>
      <c r="EC28" s="3"/>
      <c r="ED28" s="80">
        <f t="shared" si="27"/>
        <v>0</v>
      </c>
      <c r="EE28" s="3"/>
      <c r="EF28" s="3"/>
      <c r="EG28" s="3"/>
      <c r="EH28" s="3"/>
      <c r="EI28" s="80">
        <f t="shared" si="28"/>
        <v>0</v>
      </c>
      <c r="EJ28" s="3"/>
      <c r="EK28" s="3"/>
      <c r="EL28" s="3"/>
      <c r="EM28" s="3"/>
      <c r="EN28" s="80">
        <f t="shared" si="29"/>
        <v>0</v>
      </c>
      <c r="EO28" s="3"/>
      <c r="EP28" s="3"/>
      <c r="EQ28" s="3"/>
      <c r="ER28" s="3"/>
      <c r="ES28" s="80">
        <f t="shared" si="30"/>
        <v>0</v>
      </c>
      <c r="ET28" s="3"/>
      <c r="EU28" s="3"/>
      <c r="EV28" s="3"/>
      <c r="EW28" s="3"/>
      <c r="EX28" s="80">
        <f t="shared" si="31"/>
        <v>0</v>
      </c>
      <c r="EY28" s="3"/>
      <c r="EZ28" s="3"/>
      <c r="FA28" s="3"/>
      <c r="FB28" s="3"/>
      <c r="FC28" s="80">
        <f t="shared" si="32"/>
        <v>0</v>
      </c>
      <c r="FD28" s="3"/>
      <c r="FE28" s="3"/>
      <c r="FF28" s="3"/>
      <c r="FG28" s="3"/>
      <c r="FH28" s="80">
        <f t="shared" si="33"/>
        <v>0</v>
      </c>
      <c r="FI28" s="3"/>
      <c r="FJ28" s="3"/>
      <c r="FK28" s="3"/>
      <c r="FL28" s="3"/>
      <c r="FM28" s="80">
        <f t="shared" si="34"/>
        <v>0</v>
      </c>
      <c r="FN28" s="3"/>
      <c r="FO28" s="3"/>
      <c r="FP28" s="3"/>
      <c r="FQ28" s="3"/>
      <c r="FR28" s="80">
        <f t="shared" si="35"/>
        <v>0</v>
      </c>
      <c r="FS28" s="3"/>
      <c r="FT28" s="3"/>
      <c r="FU28" s="3"/>
      <c r="FV28" s="3"/>
      <c r="FW28" s="80">
        <f t="shared" si="36"/>
        <v>0</v>
      </c>
      <c r="FX28" s="3"/>
      <c r="FY28" s="3"/>
      <c r="FZ28" s="3"/>
      <c r="GA28" s="3"/>
      <c r="GB28" s="80">
        <f t="shared" si="37"/>
        <v>0</v>
      </c>
      <c r="GC28" s="12">
        <f t="shared" si="39"/>
        <v>0</v>
      </c>
    </row>
    <row r="29" spans="1:185" x14ac:dyDescent="0.35">
      <c r="A29" s="1" t="s">
        <v>4</v>
      </c>
      <c r="B29" s="1" t="s">
        <v>35</v>
      </c>
      <c r="G29" s="80"/>
      <c r="H29" s="3"/>
      <c r="I29" s="3"/>
      <c r="J29" s="3"/>
      <c r="K29" s="3"/>
      <c r="L29" s="80"/>
      <c r="M29" s="3"/>
      <c r="N29" s="3"/>
      <c r="O29" s="3"/>
      <c r="P29" s="3"/>
      <c r="Q29" s="80"/>
      <c r="R29" s="3"/>
      <c r="S29" s="3"/>
      <c r="T29" s="3"/>
      <c r="U29" s="3"/>
      <c r="V29" s="80"/>
      <c r="W29" s="3"/>
      <c r="X29" s="3"/>
      <c r="Y29" s="3"/>
      <c r="Z29" s="3"/>
      <c r="AA29" s="80"/>
      <c r="AB29" s="3"/>
      <c r="AC29" s="3"/>
      <c r="AD29" s="3"/>
      <c r="AE29" s="3"/>
      <c r="AF29" s="80"/>
      <c r="AG29" s="3"/>
      <c r="AH29" s="3"/>
      <c r="AI29" s="3"/>
      <c r="AJ29" s="3"/>
      <c r="AK29" s="80"/>
      <c r="AL29" s="3"/>
      <c r="AM29" s="3"/>
      <c r="AN29" s="3"/>
      <c r="AO29" s="3"/>
      <c r="AP29" s="80"/>
      <c r="AQ29" s="3"/>
      <c r="AR29" s="3"/>
      <c r="AS29" s="3"/>
      <c r="AT29" s="3"/>
      <c r="AU29" s="80"/>
      <c r="AV29" s="3"/>
      <c r="AW29" s="3"/>
      <c r="AX29" s="3"/>
      <c r="AY29" s="3"/>
      <c r="AZ29" s="80">
        <f t="shared" si="19"/>
        <v>0</v>
      </c>
      <c r="BA29" s="3"/>
      <c r="BB29" s="3"/>
      <c r="BC29" s="3"/>
      <c r="BD29" s="3"/>
      <c r="BE29" s="80">
        <f t="shared" si="20"/>
        <v>0</v>
      </c>
      <c r="BF29" s="3"/>
      <c r="BG29" s="3"/>
      <c r="BH29" s="3"/>
      <c r="BI29" s="3"/>
      <c r="BJ29" s="80">
        <f t="shared" si="21"/>
        <v>0</v>
      </c>
      <c r="BK29" s="12"/>
      <c r="BL29" s="3"/>
      <c r="BM29" s="3"/>
      <c r="BN29" s="3"/>
      <c r="BO29" s="3"/>
      <c r="BP29" s="80">
        <f t="shared" si="0"/>
        <v>0</v>
      </c>
      <c r="BQ29" s="3"/>
      <c r="BR29" s="3"/>
      <c r="BS29" s="3"/>
      <c r="BT29" s="3"/>
      <c r="BU29" s="80">
        <f t="shared" si="23"/>
        <v>0</v>
      </c>
      <c r="BV29" s="3"/>
      <c r="BW29" s="3"/>
      <c r="BX29" s="3"/>
      <c r="BY29" s="3"/>
      <c r="BZ29" s="80">
        <f t="shared" si="1"/>
        <v>0</v>
      </c>
      <c r="CA29" s="3"/>
      <c r="CB29" s="3"/>
      <c r="CC29" s="3"/>
      <c r="CD29" s="3"/>
      <c r="CE29" s="80">
        <f t="shared" si="2"/>
        <v>0</v>
      </c>
      <c r="CF29" s="3"/>
      <c r="CG29" s="3"/>
      <c r="CH29" s="3"/>
      <c r="CI29" s="3"/>
      <c r="CJ29" s="80">
        <f t="shared" si="3"/>
        <v>0</v>
      </c>
      <c r="CK29" s="3"/>
      <c r="CL29" s="3"/>
      <c r="CM29" s="3"/>
      <c r="CN29" s="3"/>
      <c r="CO29" s="80">
        <f t="shared" si="4"/>
        <v>0</v>
      </c>
      <c r="CP29" s="3"/>
      <c r="CQ29" s="3"/>
      <c r="CR29" s="3"/>
      <c r="CS29" s="3"/>
      <c r="CT29" s="80">
        <f t="shared" si="24"/>
        <v>0</v>
      </c>
      <c r="CU29" s="3"/>
      <c r="CV29" s="3"/>
      <c r="CW29" s="3"/>
      <c r="CX29" s="3"/>
      <c r="CY29" s="80">
        <f t="shared" si="25"/>
        <v>0</v>
      </c>
      <c r="CZ29" s="3"/>
      <c r="DA29" s="3"/>
      <c r="DB29" s="3"/>
      <c r="DC29" s="3"/>
      <c r="DD29" s="80">
        <f t="shared" si="5"/>
        <v>0</v>
      </c>
      <c r="DE29" s="3"/>
      <c r="DF29" s="3"/>
      <c r="DG29" s="3"/>
      <c r="DH29" s="3"/>
      <c r="DI29" s="80">
        <f t="shared" si="6"/>
        <v>0</v>
      </c>
      <c r="DJ29" s="3"/>
      <c r="DK29" s="3"/>
      <c r="DL29" s="3"/>
      <c r="DM29" s="3"/>
      <c r="DN29" s="80">
        <f t="shared" si="7"/>
        <v>0</v>
      </c>
      <c r="DO29" s="3"/>
      <c r="DP29" s="3"/>
      <c r="DQ29" s="3"/>
      <c r="DR29" s="3"/>
      <c r="DS29" s="80">
        <f t="shared" si="8"/>
        <v>0</v>
      </c>
      <c r="DT29" s="12"/>
      <c r="DU29" s="3"/>
      <c r="DV29" s="3"/>
      <c r="DW29" s="3"/>
      <c r="DX29" s="3"/>
      <c r="DY29" s="80">
        <f t="shared" si="26"/>
        <v>0</v>
      </c>
      <c r="DZ29" s="3"/>
      <c r="EA29" s="3"/>
      <c r="EB29" s="3"/>
      <c r="EC29" s="3"/>
      <c r="ED29" s="80">
        <f t="shared" si="27"/>
        <v>0</v>
      </c>
      <c r="EE29" s="3"/>
      <c r="EF29" s="3"/>
      <c r="EG29" s="3"/>
      <c r="EH29" s="3"/>
      <c r="EI29" s="80">
        <f t="shared" si="28"/>
        <v>0</v>
      </c>
      <c r="EJ29" s="3"/>
      <c r="EK29" s="3"/>
      <c r="EL29" s="3"/>
      <c r="EM29" s="3"/>
      <c r="EN29" s="80">
        <f t="shared" si="29"/>
        <v>0</v>
      </c>
      <c r="EO29" s="3"/>
      <c r="EP29" s="3"/>
      <c r="EQ29" s="3"/>
      <c r="ER29" s="3"/>
      <c r="ES29" s="80">
        <f t="shared" si="30"/>
        <v>0</v>
      </c>
      <c r="ET29" s="3"/>
      <c r="EU29" s="3"/>
      <c r="EV29" s="3"/>
      <c r="EW29" s="3"/>
      <c r="EX29" s="80">
        <f t="shared" si="31"/>
        <v>0</v>
      </c>
      <c r="EY29" s="3"/>
      <c r="EZ29" s="3"/>
      <c r="FA29" s="3"/>
      <c r="FB29" s="3"/>
      <c r="FC29" s="80">
        <f t="shared" si="32"/>
        <v>0</v>
      </c>
      <c r="FD29" s="3"/>
      <c r="FE29" s="3"/>
      <c r="FF29" s="3"/>
      <c r="FG29" s="3"/>
      <c r="FH29" s="80">
        <f t="shared" si="33"/>
        <v>0</v>
      </c>
      <c r="FI29" s="3"/>
      <c r="FJ29" s="3"/>
      <c r="FK29" s="3"/>
      <c r="FL29" s="3"/>
      <c r="FM29" s="80">
        <f t="shared" si="34"/>
        <v>0</v>
      </c>
      <c r="FN29" s="3"/>
      <c r="FO29" s="3"/>
      <c r="FP29" s="3"/>
      <c r="FQ29" s="3"/>
      <c r="FR29" s="80">
        <f t="shared" si="35"/>
        <v>0</v>
      </c>
      <c r="FS29" s="3"/>
      <c r="FT29" s="3"/>
      <c r="FU29" s="3"/>
      <c r="FV29" s="3"/>
      <c r="FW29" s="80">
        <f t="shared" si="36"/>
        <v>0</v>
      </c>
      <c r="FX29" s="3"/>
      <c r="FY29" s="3"/>
      <c r="FZ29" s="3"/>
      <c r="GA29" s="3"/>
      <c r="GB29" s="80">
        <f t="shared" si="37"/>
        <v>0</v>
      </c>
      <c r="GC29" s="12">
        <f t="shared" si="39"/>
        <v>0</v>
      </c>
    </row>
    <row r="30" spans="1:185" x14ac:dyDescent="0.35">
      <c r="A30" s="1" t="s">
        <v>16</v>
      </c>
      <c r="B30" s="1" t="s">
        <v>36</v>
      </c>
      <c r="G30" s="80"/>
      <c r="H30" s="3"/>
      <c r="I30" s="3"/>
      <c r="J30" s="3"/>
      <c r="K30" s="3"/>
      <c r="L30" s="80"/>
      <c r="M30" s="3"/>
      <c r="N30" s="3"/>
      <c r="O30" s="3"/>
      <c r="P30" s="3"/>
      <c r="Q30" s="80"/>
      <c r="R30" s="3"/>
      <c r="S30" s="3"/>
      <c r="T30" s="3"/>
      <c r="U30" s="3"/>
      <c r="V30" s="80"/>
      <c r="W30" s="3"/>
      <c r="X30" s="3"/>
      <c r="Y30" s="3"/>
      <c r="Z30" s="3"/>
      <c r="AA30" s="80"/>
      <c r="AB30" s="3"/>
      <c r="AC30" s="3"/>
      <c r="AD30" s="3"/>
      <c r="AE30" s="3"/>
      <c r="AF30" s="80"/>
      <c r="AG30" s="3"/>
      <c r="AH30" s="3"/>
      <c r="AI30" s="3"/>
      <c r="AJ30" s="3"/>
      <c r="AK30" s="80"/>
      <c r="AL30" s="3"/>
      <c r="AM30" s="3"/>
      <c r="AN30" s="3"/>
      <c r="AO30" s="3"/>
      <c r="AP30" s="80"/>
      <c r="AQ30" s="3"/>
      <c r="AR30" s="3"/>
      <c r="AS30" s="3"/>
      <c r="AT30" s="3"/>
      <c r="AU30" s="80"/>
      <c r="AV30" s="3"/>
      <c r="AW30" s="3"/>
      <c r="AX30" s="3"/>
      <c r="AY30" s="3"/>
      <c r="AZ30" s="80">
        <f t="shared" si="19"/>
        <v>0</v>
      </c>
      <c r="BA30" s="3"/>
      <c r="BB30" s="3"/>
      <c r="BC30" s="3"/>
      <c r="BD30" s="3"/>
      <c r="BE30" s="80">
        <f t="shared" si="20"/>
        <v>0</v>
      </c>
      <c r="BF30" s="3"/>
      <c r="BG30" s="3"/>
      <c r="BH30" s="3"/>
      <c r="BI30" s="3"/>
      <c r="BJ30" s="80">
        <f t="shared" si="21"/>
        <v>0</v>
      </c>
      <c r="BK30" s="12"/>
      <c r="BL30" s="3"/>
      <c r="BM30" s="3"/>
      <c r="BN30" s="3"/>
      <c r="BO30" s="3"/>
      <c r="BP30" s="80">
        <f t="shared" si="0"/>
        <v>0</v>
      </c>
      <c r="BQ30" s="3"/>
      <c r="BR30" s="3"/>
      <c r="BS30" s="3"/>
      <c r="BT30" s="3"/>
      <c r="BU30" s="80">
        <f t="shared" si="23"/>
        <v>0</v>
      </c>
      <c r="BV30" s="3"/>
      <c r="BW30" s="3"/>
      <c r="BX30" s="3"/>
      <c r="BY30" s="3"/>
      <c r="BZ30" s="80">
        <f t="shared" si="1"/>
        <v>0</v>
      </c>
      <c r="CA30" s="3"/>
      <c r="CB30" s="3"/>
      <c r="CC30" s="3"/>
      <c r="CD30" s="3"/>
      <c r="CE30" s="80">
        <f t="shared" si="2"/>
        <v>0</v>
      </c>
      <c r="CF30" s="3"/>
      <c r="CG30" s="3"/>
      <c r="CH30" s="3"/>
      <c r="CI30" s="3"/>
      <c r="CJ30" s="80">
        <f t="shared" si="3"/>
        <v>0</v>
      </c>
      <c r="CK30" s="3"/>
      <c r="CL30" s="3"/>
      <c r="CM30" s="3"/>
      <c r="CN30" s="3"/>
      <c r="CO30" s="80">
        <f t="shared" si="4"/>
        <v>0</v>
      </c>
      <c r="CP30" s="3"/>
      <c r="CQ30" s="3"/>
      <c r="CR30" s="3"/>
      <c r="CS30" s="3"/>
      <c r="CT30" s="80">
        <f t="shared" si="24"/>
        <v>0</v>
      </c>
      <c r="CU30" s="3"/>
      <c r="CV30" s="3"/>
      <c r="CW30" s="3"/>
      <c r="CX30" s="3"/>
      <c r="CY30" s="80">
        <f t="shared" si="25"/>
        <v>0</v>
      </c>
      <c r="CZ30" s="3"/>
      <c r="DA30" s="3"/>
      <c r="DB30" s="3"/>
      <c r="DC30" s="3"/>
      <c r="DD30" s="80">
        <f t="shared" si="5"/>
        <v>0</v>
      </c>
      <c r="DE30" s="3"/>
      <c r="DF30" s="3"/>
      <c r="DG30" s="3"/>
      <c r="DH30" s="3"/>
      <c r="DI30" s="80">
        <f t="shared" si="6"/>
        <v>0</v>
      </c>
      <c r="DJ30" s="3"/>
      <c r="DK30" s="3"/>
      <c r="DL30" s="3"/>
      <c r="DM30" s="3"/>
      <c r="DN30" s="80">
        <f t="shared" si="7"/>
        <v>0</v>
      </c>
      <c r="DO30" s="3"/>
      <c r="DP30" s="3"/>
      <c r="DQ30" s="3"/>
      <c r="DR30" s="3"/>
      <c r="DS30" s="80">
        <f t="shared" si="8"/>
        <v>0</v>
      </c>
      <c r="DT30" s="12"/>
      <c r="DU30" s="3"/>
      <c r="DV30" s="3"/>
      <c r="DW30" s="3"/>
      <c r="DX30" s="3"/>
      <c r="DY30" s="80">
        <f t="shared" si="26"/>
        <v>0</v>
      </c>
      <c r="DZ30" s="3"/>
      <c r="EA30" s="3"/>
      <c r="EB30" s="3"/>
      <c r="EC30" s="3"/>
      <c r="ED30" s="80">
        <f t="shared" si="27"/>
        <v>0</v>
      </c>
      <c r="EE30" s="3"/>
      <c r="EF30" s="3"/>
      <c r="EG30" s="3"/>
      <c r="EH30" s="3"/>
      <c r="EI30" s="80">
        <f t="shared" si="28"/>
        <v>0</v>
      </c>
      <c r="EJ30" s="3"/>
      <c r="EK30" s="3"/>
      <c r="EL30" s="3"/>
      <c r="EM30" s="3"/>
      <c r="EN30" s="80">
        <f t="shared" si="29"/>
        <v>0</v>
      </c>
      <c r="EO30" s="3"/>
      <c r="EP30" s="3"/>
      <c r="EQ30" s="3"/>
      <c r="ER30" s="3"/>
      <c r="ES30" s="80">
        <f t="shared" si="30"/>
        <v>0</v>
      </c>
      <c r="ET30" s="3"/>
      <c r="EU30" s="3"/>
      <c r="EV30" s="3"/>
      <c r="EW30" s="3"/>
      <c r="EX30" s="80">
        <f t="shared" si="31"/>
        <v>0</v>
      </c>
      <c r="EY30" s="3"/>
      <c r="EZ30" s="3"/>
      <c r="FA30" s="3"/>
      <c r="FB30" s="3"/>
      <c r="FC30" s="80">
        <f t="shared" si="32"/>
        <v>0</v>
      </c>
      <c r="FD30" s="3"/>
      <c r="FE30" s="3"/>
      <c r="FF30" s="3"/>
      <c r="FG30" s="3"/>
      <c r="FH30" s="80">
        <f t="shared" si="33"/>
        <v>0</v>
      </c>
      <c r="FI30" s="3"/>
      <c r="FJ30" s="3"/>
      <c r="FK30" s="3"/>
      <c r="FL30" s="3"/>
      <c r="FM30" s="80">
        <f t="shared" si="34"/>
        <v>0</v>
      </c>
      <c r="FN30" s="3"/>
      <c r="FO30" s="3"/>
      <c r="FP30" s="3"/>
      <c r="FQ30" s="3"/>
      <c r="FR30" s="80">
        <f t="shared" si="35"/>
        <v>0</v>
      </c>
      <c r="FS30" s="3"/>
      <c r="FT30" s="3"/>
      <c r="FU30" s="3"/>
      <c r="FV30" s="3"/>
      <c r="FW30" s="80">
        <f t="shared" si="36"/>
        <v>0</v>
      </c>
      <c r="FX30" s="3"/>
      <c r="FY30" s="3"/>
      <c r="FZ30" s="3"/>
      <c r="GA30" s="3"/>
      <c r="GB30" s="80">
        <f t="shared" si="37"/>
        <v>0</v>
      </c>
      <c r="GC30" s="12">
        <f t="shared" si="39"/>
        <v>0</v>
      </c>
    </row>
    <row r="31" spans="1:185" x14ac:dyDescent="0.35">
      <c r="A31" s="1" t="s">
        <v>10</v>
      </c>
      <c r="B31" s="1" t="s">
        <v>37</v>
      </c>
      <c r="G31" s="80"/>
      <c r="H31" s="3"/>
      <c r="I31" s="3"/>
      <c r="J31" s="3"/>
      <c r="K31" s="3"/>
      <c r="L31" s="80"/>
      <c r="M31" s="3"/>
      <c r="N31" s="3"/>
      <c r="O31" s="3"/>
      <c r="P31" s="3"/>
      <c r="Q31" s="80"/>
      <c r="R31" s="3"/>
      <c r="S31" s="3"/>
      <c r="T31" s="3"/>
      <c r="U31" s="3"/>
      <c r="V31" s="80"/>
      <c r="W31" s="3"/>
      <c r="X31" s="3"/>
      <c r="Y31" s="3"/>
      <c r="Z31" s="3"/>
      <c r="AA31" s="80"/>
      <c r="AB31" s="3"/>
      <c r="AC31" s="3"/>
      <c r="AD31" s="3"/>
      <c r="AE31" s="3"/>
      <c r="AF31" s="80"/>
      <c r="AG31" s="3"/>
      <c r="AH31" s="3"/>
      <c r="AI31" s="3"/>
      <c r="AJ31" s="3"/>
      <c r="AK31" s="80"/>
      <c r="AL31" s="3"/>
      <c r="AM31" s="3"/>
      <c r="AN31" s="3"/>
      <c r="AO31" s="3"/>
      <c r="AP31" s="80"/>
      <c r="AQ31" s="3"/>
      <c r="AR31" s="3"/>
      <c r="AS31" s="3"/>
      <c r="AT31" s="3"/>
      <c r="AU31" s="80"/>
      <c r="AV31" s="3"/>
      <c r="AW31" s="3"/>
      <c r="AX31" s="3"/>
      <c r="AY31" s="3"/>
      <c r="AZ31" s="80">
        <f t="shared" si="19"/>
        <v>0</v>
      </c>
      <c r="BA31" s="3"/>
      <c r="BB31" s="3"/>
      <c r="BC31" s="3"/>
      <c r="BD31" s="3"/>
      <c r="BE31" s="80">
        <f t="shared" si="20"/>
        <v>0</v>
      </c>
      <c r="BF31" s="3"/>
      <c r="BG31" s="3"/>
      <c r="BH31" s="3"/>
      <c r="BI31" s="3"/>
      <c r="BJ31" s="80">
        <f t="shared" si="21"/>
        <v>0</v>
      </c>
      <c r="BK31" s="12"/>
      <c r="BL31" s="3"/>
      <c r="BM31" s="3"/>
      <c r="BN31" s="3"/>
      <c r="BO31" s="3"/>
      <c r="BP31" s="80">
        <f t="shared" si="0"/>
        <v>0</v>
      </c>
      <c r="BQ31" s="3"/>
      <c r="BR31" s="3"/>
      <c r="BS31" s="3"/>
      <c r="BT31" s="3"/>
      <c r="BU31" s="80">
        <f t="shared" si="23"/>
        <v>0</v>
      </c>
      <c r="BV31" s="3"/>
      <c r="BW31" s="3"/>
      <c r="BX31" s="3"/>
      <c r="BY31" s="3"/>
      <c r="BZ31" s="80">
        <f t="shared" si="1"/>
        <v>0</v>
      </c>
      <c r="CA31" s="3"/>
      <c r="CB31" s="3"/>
      <c r="CC31" s="3"/>
      <c r="CD31" s="3"/>
      <c r="CE31" s="80">
        <f t="shared" si="2"/>
        <v>0</v>
      </c>
      <c r="CF31" s="3"/>
      <c r="CG31" s="3"/>
      <c r="CH31" s="3"/>
      <c r="CI31" s="3"/>
      <c r="CJ31" s="80">
        <f t="shared" si="3"/>
        <v>0</v>
      </c>
      <c r="CK31" s="3"/>
      <c r="CL31" s="3"/>
      <c r="CM31" s="3"/>
      <c r="CN31" s="3"/>
      <c r="CO31" s="80">
        <f t="shared" si="4"/>
        <v>0</v>
      </c>
      <c r="CP31" s="3"/>
      <c r="CQ31" s="3"/>
      <c r="CR31" s="3"/>
      <c r="CS31" s="3"/>
      <c r="CT31" s="80">
        <f t="shared" si="24"/>
        <v>0</v>
      </c>
      <c r="CU31" s="3"/>
      <c r="CV31" s="3"/>
      <c r="CW31" s="3"/>
      <c r="CX31" s="3"/>
      <c r="CY31" s="80">
        <f t="shared" si="25"/>
        <v>0</v>
      </c>
      <c r="CZ31" s="3"/>
      <c r="DA31" s="3"/>
      <c r="DB31" s="3"/>
      <c r="DC31" s="3"/>
      <c r="DD31" s="80">
        <f t="shared" si="5"/>
        <v>0</v>
      </c>
      <c r="DE31" s="3"/>
      <c r="DF31" s="3"/>
      <c r="DG31" s="3"/>
      <c r="DH31" s="3"/>
      <c r="DI31" s="80">
        <f t="shared" si="6"/>
        <v>0</v>
      </c>
      <c r="DJ31" s="3"/>
      <c r="DK31" s="3"/>
      <c r="DL31" s="3"/>
      <c r="DM31" s="3"/>
      <c r="DN31" s="80">
        <f t="shared" si="7"/>
        <v>0</v>
      </c>
      <c r="DO31" s="3"/>
      <c r="DP31" s="3"/>
      <c r="DQ31" s="3"/>
      <c r="DR31" s="3"/>
      <c r="DS31" s="80">
        <f t="shared" si="8"/>
        <v>0</v>
      </c>
      <c r="DT31" s="12"/>
      <c r="DU31" s="3"/>
      <c r="DV31" s="3"/>
      <c r="DW31" s="3"/>
      <c r="DX31" s="3"/>
      <c r="DY31" s="80">
        <f t="shared" si="26"/>
        <v>0</v>
      </c>
      <c r="DZ31" s="3"/>
      <c r="EA31" s="3"/>
      <c r="EB31" s="3"/>
      <c r="EC31" s="3"/>
      <c r="ED31" s="80">
        <f t="shared" si="27"/>
        <v>0</v>
      </c>
      <c r="EE31" s="3"/>
      <c r="EF31" s="3"/>
      <c r="EG31" s="3"/>
      <c r="EH31" s="3"/>
      <c r="EI31" s="80">
        <f t="shared" si="28"/>
        <v>0</v>
      </c>
      <c r="EJ31" s="3"/>
      <c r="EK31" s="3"/>
      <c r="EL31" s="3"/>
      <c r="EM31" s="3"/>
      <c r="EN31" s="80">
        <f t="shared" si="29"/>
        <v>0</v>
      </c>
      <c r="EO31" s="3"/>
      <c r="EP31" s="3"/>
      <c r="EQ31" s="3"/>
      <c r="ER31" s="3"/>
      <c r="ES31" s="80">
        <f t="shared" si="30"/>
        <v>0</v>
      </c>
      <c r="ET31" s="3"/>
      <c r="EU31" s="3"/>
      <c r="EV31" s="3"/>
      <c r="EW31" s="3"/>
      <c r="EX31" s="80">
        <f t="shared" si="31"/>
        <v>0</v>
      </c>
      <c r="EY31" s="3"/>
      <c r="EZ31" s="3"/>
      <c r="FA31" s="3"/>
      <c r="FB31" s="3"/>
      <c r="FC31" s="80">
        <f t="shared" si="32"/>
        <v>0</v>
      </c>
      <c r="FD31" s="3"/>
      <c r="FE31" s="3"/>
      <c r="FF31" s="3"/>
      <c r="FG31" s="3"/>
      <c r="FH31" s="80">
        <f t="shared" si="33"/>
        <v>0</v>
      </c>
      <c r="FI31" s="3"/>
      <c r="FJ31" s="3"/>
      <c r="FK31" s="3"/>
      <c r="FL31" s="3"/>
      <c r="FM31" s="80">
        <f t="shared" si="34"/>
        <v>0</v>
      </c>
      <c r="FN31" s="3"/>
      <c r="FO31" s="3"/>
      <c r="FP31" s="3"/>
      <c r="FQ31" s="3"/>
      <c r="FR31" s="80">
        <f t="shared" si="35"/>
        <v>0</v>
      </c>
      <c r="FS31" s="3"/>
      <c r="FT31" s="3"/>
      <c r="FU31" s="3"/>
      <c r="FV31" s="3"/>
      <c r="FW31" s="80">
        <f t="shared" si="36"/>
        <v>0</v>
      </c>
      <c r="FX31" s="3"/>
      <c r="FY31" s="3"/>
      <c r="FZ31" s="3"/>
      <c r="GA31" s="3"/>
      <c r="GB31" s="80">
        <f t="shared" si="37"/>
        <v>0</v>
      </c>
      <c r="GC31" s="12">
        <f t="shared" si="39"/>
        <v>0</v>
      </c>
    </row>
    <row r="32" spans="1:185" x14ac:dyDescent="0.35">
      <c r="A32" s="1" t="s">
        <v>4</v>
      </c>
      <c r="B32" s="1" t="s">
        <v>38</v>
      </c>
      <c r="G32" s="80"/>
      <c r="H32" s="3"/>
      <c r="I32" s="3"/>
      <c r="J32" s="3"/>
      <c r="K32" s="3"/>
      <c r="L32" s="80"/>
      <c r="M32" s="3"/>
      <c r="N32" s="3"/>
      <c r="O32" s="3"/>
      <c r="P32" s="3"/>
      <c r="Q32" s="80"/>
      <c r="R32" s="3"/>
      <c r="S32" s="3"/>
      <c r="T32" s="3"/>
      <c r="U32" s="3"/>
      <c r="V32" s="80"/>
      <c r="W32" s="3"/>
      <c r="X32" s="3"/>
      <c r="Y32" s="3"/>
      <c r="Z32" s="3"/>
      <c r="AA32" s="80"/>
      <c r="AB32" s="3"/>
      <c r="AC32" s="3"/>
      <c r="AD32" s="3"/>
      <c r="AE32" s="3"/>
      <c r="AF32" s="80"/>
      <c r="AG32" s="3"/>
      <c r="AH32" s="3"/>
      <c r="AI32" s="3"/>
      <c r="AJ32" s="3"/>
      <c r="AK32" s="80"/>
      <c r="AL32" s="3"/>
      <c r="AM32" s="3"/>
      <c r="AN32" s="3"/>
      <c r="AO32" s="3"/>
      <c r="AP32" s="80"/>
      <c r="AQ32" s="3"/>
      <c r="AR32" s="3"/>
      <c r="AS32" s="3"/>
      <c r="AT32" s="3"/>
      <c r="AU32" s="80"/>
      <c r="AV32" s="3"/>
      <c r="AW32" s="3"/>
      <c r="AX32" s="3"/>
      <c r="AY32" s="3"/>
      <c r="AZ32" s="80">
        <f t="shared" si="19"/>
        <v>0</v>
      </c>
      <c r="BA32" s="3"/>
      <c r="BB32" s="3"/>
      <c r="BC32" s="3"/>
      <c r="BD32" s="3"/>
      <c r="BE32" s="80">
        <f t="shared" si="20"/>
        <v>0</v>
      </c>
      <c r="BF32" s="3"/>
      <c r="BG32" s="3"/>
      <c r="BH32" s="3"/>
      <c r="BI32" s="3"/>
      <c r="BJ32" s="80">
        <f t="shared" si="21"/>
        <v>0</v>
      </c>
      <c r="BK32" s="12"/>
      <c r="BL32" s="3"/>
      <c r="BM32" s="3"/>
      <c r="BN32" s="3"/>
      <c r="BO32" s="3"/>
      <c r="BP32" s="80">
        <f t="shared" si="0"/>
        <v>0</v>
      </c>
      <c r="BQ32" s="3"/>
      <c r="BR32" s="3"/>
      <c r="BS32" s="3"/>
      <c r="BT32" s="3"/>
      <c r="BU32" s="80">
        <f t="shared" si="23"/>
        <v>0</v>
      </c>
      <c r="BV32" s="3"/>
      <c r="BW32" s="3"/>
      <c r="BX32" s="3"/>
      <c r="BY32" s="3"/>
      <c r="BZ32" s="80"/>
      <c r="CA32" s="3"/>
      <c r="CB32" s="3"/>
      <c r="CC32" s="3"/>
      <c r="CD32" s="3"/>
      <c r="CE32" s="80"/>
      <c r="CF32" s="3"/>
      <c r="CG32" s="3"/>
      <c r="CH32" s="3"/>
      <c r="CI32" s="3"/>
      <c r="CJ32" s="80"/>
      <c r="CK32" s="3"/>
      <c r="CL32" s="3"/>
      <c r="CM32" s="3"/>
      <c r="CN32" s="3"/>
      <c r="CO32" s="80"/>
      <c r="CP32" s="3"/>
      <c r="CQ32" s="3"/>
      <c r="CR32" s="3"/>
      <c r="CS32" s="3"/>
      <c r="CT32" s="80">
        <f t="shared" si="24"/>
        <v>0</v>
      </c>
      <c r="CU32" s="3"/>
      <c r="CV32" s="3"/>
      <c r="CW32" s="3"/>
      <c r="CX32" s="3"/>
      <c r="CY32" s="80">
        <f t="shared" si="25"/>
        <v>0</v>
      </c>
      <c r="CZ32" s="3"/>
      <c r="DA32" s="3"/>
      <c r="DB32" s="3"/>
      <c r="DC32" s="3"/>
      <c r="DD32" s="80"/>
      <c r="DE32" s="3"/>
      <c r="DF32" s="3"/>
      <c r="DG32" s="3"/>
      <c r="DH32" s="3"/>
      <c r="DI32" s="80"/>
      <c r="DJ32" s="3"/>
      <c r="DK32" s="3"/>
      <c r="DL32" s="3"/>
      <c r="DM32" s="3"/>
      <c r="DN32" s="80"/>
      <c r="DO32" s="3"/>
      <c r="DP32" s="3"/>
      <c r="DQ32" s="3"/>
      <c r="DR32" s="3"/>
      <c r="DS32" s="80"/>
      <c r="DT32" s="12"/>
      <c r="DU32" s="3"/>
      <c r="DV32" s="3"/>
      <c r="DW32" s="3"/>
      <c r="DX32" s="3"/>
      <c r="DY32" s="80">
        <f t="shared" si="26"/>
        <v>0</v>
      </c>
      <c r="DZ32" s="3"/>
      <c r="EA32" s="3"/>
      <c r="EB32" s="3"/>
      <c r="EC32" s="3"/>
      <c r="ED32" s="80">
        <f t="shared" si="27"/>
        <v>0</v>
      </c>
      <c r="EE32" s="3"/>
      <c r="EF32" s="3"/>
      <c r="EG32" s="3"/>
      <c r="EH32" s="3"/>
      <c r="EI32" s="80">
        <f t="shared" si="28"/>
        <v>0</v>
      </c>
      <c r="EJ32" s="3"/>
      <c r="EK32" s="3"/>
      <c r="EL32" s="3"/>
      <c r="EM32" s="3"/>
      <c r="EN32" s="80"/>
      <c r="EO32" s="3"/>
      <c r="EP32" s="3"/>
      <c r="EQ32" s="3"/>
      <c r="ER32" s="3"/>
      <c r="ES32" s="80">
        <f t="shared" si="30"/>
        <v>0</v>
      </c>
      <c r="ET32" s="3"/>
      <c r="EU32" s="3"/>
      <c r="EV32" s="3"/>
      <c r="EW32" s="3"/>
      <c r="EX32" s="80">
        <f t="shared" si="31"/>
        <v>0</v>
      </c>
      <c r="EY32" s="3"/>
      <c r="EZ32" s="3"/>
      <c r="FA32" s="3"/>
      <c r="FB32" s="3"/>
      <c r="FC32" s="80">
        <f t="shared" si="32"/>
        <v>0</v>
      </c>
      <c r="FD32" s="3"/>
      <c r="FE32" s="3"/>
      <c r="FF32" s="3"/>
      <c r="FG32" s="3"/>
      <c r="FH32" s="80">
        <f t="shared" si="33"/>
        <v>0</v>
      </c>
      <c r="FI32" s="3"/>
      <c r="FJ32" s="3"/>
      <c r="FK32" s="3"/>
      <c r="FL32" s="3"/>
      <c r="FM32" s="80">
        <f t="shared" si="34"/>
        <v>0</v>
      </c>
      <c r="FN32" s="3"/>
      <c r="FO32" s="3"/>
      <c r="FP32" s="3"/>
      <c r="FQ32" s="3"/>
      <c r="FR32" s="80">
        <f t="shared" si="35"/>
        <v>0</v>
      </c>
      <c r="FS32" s="3"/>
      <c r="FT32" s="3"/>
      <c r="FU32" s="3"/>
      <c r="FV32" s="3"/>
      <c r="FW32" s="80">
        <f t="shared" si="36"/>
        <v>0</v>
      </c>
      <c r="FX32" s="3"/>
      <c r="FY32" s="3"/>
      <c r="FZ32" s="3"/>
      <c r="GA32" s="3"/>
      <c r="GB32" s="80">
        <f t="shared" si="37"/>
        <v>0</v>
      </c>
      <c r="GC32" s="12">
        <f t="shared" si="39"/>
        <v>0</v>
      </c>
    </row>
    <row r="33" spans="2:185" s="2" customFormat="1" x14ac:dyDescent="0.35">
      <c r="B33" s="2" t="s">
        <v>46</v>
      </c>
      <c r="C33" s="10">
        <f>SUM(C4:C24)</f>
        <v>0</v>
      </c>
      <c r="D33" s="10"/>
      <c r="E33" s="10"/>
      <c r="F33" s="10"/>
      <c r="G33" s="81">
        <f>SUM(G4:G24)</f>
        <v>16374</v>
      </c>
      <c r="H33" s="10">
        <f>SUM(H4:H24)</f>
        <v>0</v>
      </c>
      <c r="I33" s="10"/>
      <c r="J33" s="10"/>
      <c r="K33" s="10"/>
      <c r="L33" s="81">
        <f>SUM(L4:L24)</f>
        <v>21601</v>
      </c>
      <c r="M33" s="10">
        <f>SUM(M4:M24)</f>
        <v>0</v>
      </c>
      <c r="N33" s="10"/>
      <c r="O33" s="10"/>
      <c r="P33" s="10"/>
      <c r="Q33" s="81">
        <f>SUM(Q4:Q24)</f>
        <v>33600</v>
      </c>
      <c r="R33" s="10">
        <f>SUM(R4:R24)</f>
        <v>0</v>
      </c>
      <c r="S33" s="10"/>
      <c r="T33" s="10"/>
      <c r="U33" s="10"/>
      <c r="V33" s="81">
        <f>SUM(V4:V24)</f>
        <v>532</v>
      </c>
      <c r="W33" s="10">
        <f>SUM(W4:W24)</f>
        <v>0</v>
      </c>
      <c r="X33" s="10"/>
      <c r="Y33" s="10"/>
      <c r="Z33" s="10"/>
      <c r="AA33" s="81">
        <f>SUM(AA4:AA24)</f>
        <v>4358</v>
      </c>
      <c r="AB33" s="10">
        <f>SUM(AB4:AB24)</f>
        <v>0</v>
      </c>
      <c r="AC33" s="10"/>
      <c r="AD33" s="10"/>
      <c r="AE33" s="10"/>
      <c r="AF33" s="81">
        <f>SUM(AF4:AF24)</f>
        <v>12647</v>
      </c>
      <c r="AG33" s="10">
        <f>SUM(AG4:AG24)</f>
        <v>0</v>
      </c>
      <c r="AH33" s="10"/>
      <c r="AI33" s="10"/>
      <c r="AJ33" s="10"/>
      <c r="AK33" s="81">
        <f t="shared" ref="AK33:AY33" si="40">SUM(AK4:AK24)</f>
        <v>19455</v>
      </c>
      <c r="AL33" s="10">
        <f t="shared" si="40"/>
        <v>3456</v>
      </c>
      <c r="AM33" s="10">
        <f t="shared" si="40"/>
        <v>5000</v>
      </c>
      <c r="AN33" s="10">
        <f t="shared" si="40"/>
        <v>4028</v>
      </c>
      <c r="AO33" s="10">
        <f t="shared" si="40"/>
        <v>4840</v>
      </c>
      <c r="AP33" s="81">
        <f t="shared" si="40"/>
        <v>17324</v>
      </c>
      <c r="AQ33" s="10">
        <f t="shared" si="40"/>
        <v>6600</v>
      </c>
      <c r="AR33" s="10">
        <f t="shared" si="40"/>
        <v>8565</v>
      </c>
      <c r="AS33" s="10">
        <f t="shared" si="40"/>
        <v>0</v>
      </c>
      <c r="AT33" s="10">
        <f t="shared" si="40"/>
        <v>8374</v>
      </c>
      <c r="AU33" s="81">
        <f t="shared" si="40"/>
        <v>23539</v>
      </c>
      <c r="AV33" s="10">
        <f t="shared" si="40"/>
        <v>4736</v>
      </c>
      <c r="AW33" s="10">
        <f t="shared" si="40"/>
        <v>8420</v>
      </c>
      <c r="AX33" s="10">
        <f t="shared" si="40"/>
        <v>6597</v>
      </c>
      <c r="AY33" s="10">
        <f t="shared" si="40"/>
        <v>4030</v>
      </c>
      <c r="AZ33" s="81">
        <f>SUM(AZ4:AZ32)</f>
        <v>23783</v>
      </c>
      <c r="BA33" s="81">
        <f t="shared" ref="BA33:BU33" si="41">SUM(BA4:BA32)</f>
        <v>3123</v>
      </c>
      <c r="BB33" s="81">
        <f t="shared" si="41"/>
        <v>7945</v>
      </c>
      <c r="BC33" s="81">
        <f t="shared" si="41"/>
        <v>9383</v>
      </c>
      <c r="BD33" s="81">
        <f t="shared" si="41"/>
        <v>8272</v>
      </c>
      <c r="BE33" s="81">
        <f t="shared" si="41"/>
        <v>28723</v>
      </c>
      <c r="BF33" s="81">
        <f t="shared" si="41"/>
        <v>2313</v>
      </c>
      <c r="BG33" s="81">
        <f t="shared" si="41"/>
        <v>0</v>
      </c>
      <c r="BH33" s="81">
        <f t="shared" si="41"/>
        <v>0</v>
      </c>
      <c r="BI33" s="81">
        <f t="shared" si="41"/>
        <v>6306</v>
      </c>
      <c r="BJ33" s="81">
        <f t="shared" si="41"/>
        <v>8619</v>
      </c>
      <c r="BK33" s="81">
        <f t="shared" si="41"/>
        <v>210555</v>
      </c>
      <c r="BL33" s="81">
        <f t="shared" si="41"/>
        <v>4500</v>
      </c>
      <c r="BM33" s="81">
        <f t="shared" si="41"/>
        <v>7000</v>
      </c>
      <c r="BN33" s="81">
        <f t="shared" si="41"/>
        <v>4785</v>
      </c>
      <c r="BO33" s="81">
        <f t="shared" si="41"/>
        <v>3381</v>
      </c>
      <c r="BP33" s="81">
        <f t="shared" si="41"/>
        <v>19666</v>
      </c>
      <c r="BQ33" s="81">
        <f t="shared" si="41"/>
        <v>7000</v>
      </c>
      <c r="BR33" s="81">
        <f t="shared" si="41"/>
        <v>6501</v>
      </c>
      <c r="BS33" s="81">
        <f t="shared" si="41"/>
        <v>5879</v>
      </c>
      <c r="BT33" s="81">
        <f t="shared" si="41"/>
        <v>5395</v>
      </c>
      <c r="BU33" s="81">
        <f t="shared" si="41"/>
        <v>24775</v>
      </c>
      <c r="BV33" s="81">
        <f t="shared" ref="BV33:DL33" si="42">SUM(BV4:BV32)</f>
        <v>7000</v>
      </c>
      <c r="BW33" s="81">
        <f t="shared" si="42"/>
        <v>7750</v>
      </c>
      <c r="BX33" s="81">
        <f t="shared" si="42"/>
        <v>2938</v>
      </c>
      <c r="BY33" s="81">
        <f t="shared" si="42"/>
        <v>3830</v>
      </c>
      <c r="BZ33" s="81">
        <f t="shared" si="42"/>
        <v>21518</v>
      </c>
      <c r="CA33" s="81">
        <f t="shared" si="42"/>
        <v>6500</v>
      </c>
      <c r="CB33" s="81">
        <f t="shared" si="42"/>
        <v>6500</v>
      </c>
      <c r="CC33" s="81">
        <f t="shared" si="42"/>
        <v>6100</v>
      </c>
      <c r="CD33" s="81">
        <f>SUM(CD4:CD32)</f>
        <v>3400</v>
      </c>
      <c r="CE33" s="81">
        <f t="shared" si="42"/>
        <v>22500</v>
      </c>
      <c r="CF33" s="81">
        <f t="shared" si="42"/>
        <v>6500</v>
      </c>
      <c r="CG33" s="81">
        <f t="shared" si="42"/>
        <v>7000</v>
      </c>
      <c r="CH33" s="81">
        <f t="shared" si="42"/>
        <v>8700</v>
      </c>
      <c r="CI33" s="81">
        <f>SUM(CI4:CI32)</f>
        <v>2075</v>
      </c>
      <c r="CJ33" s="81">
        <f t="shared" si="42"/>
        <v>24275</v>
      </c>
      <c r="CK33" s="81">
        <f t="shared" si="42"/>
        <v>6650</v>
      </c>
      <c r="CL33" s="81">
        <f t="shared" si="42"/>
        <v>6000</v>
      </c>
      <c r="CM33" s="81">
        <f t="shared" si="42"/>
        <v>6750</v>
      </c>
      <c r="CN33" s="81">
        <f>SUM(CN4:CN32)</f>
        <v>1916</v>
      </c>
      <c r="CO33" s="81">
        <f t="shared" si="42"/>
        <v>21316</v>
      </c>
      <c r="CP33" s="81">
        <f t="shared" si="42"/>
        <v>6450</v>
      </c>
      <c r="CQ33" s="81">
        <f t="shared" si="42"/>
        <v>6500</v>
      </c>
      <c r="CR33" s="81">
        <f t="shared" si="42"/>
        <v>6570</v>
      </c>
      <c r="CS33" s="81">
        <f>SUM(CS4:CS32)</f>
        <v>200</v>
      </c>
      <c r="CT33" s="81">
        <f t="shared" si="42"/>
        <v>19720</v>
      </c>
      <c r="CU33" s="81">
        <f t="shared" si="42"/>
        <v>6000</v>
      </c>
      <c r="CV33" s="81">
        <f t="shared" si="42"/>
        <v>6200</v>
      </c>
      <c r="CW33" s="81">
        <f t="shared" si="42"/>
        <v>6725</v>
      </c>
      <c r="CX33" s="81">
        <f>SUM(CX4:CX32)</f>
        <v>520</v>
      </c>
      <c r="CY33" s="81">
        <f t="shared" si="42"/>
        <v>19445</v>
      </c>
      <c r="CZ33" s="81">
        <f t="shared" si="42"/>
        <v>6000</v>
      </c>
      <c r="DA33" s="81">
        <f t="shared" si="42"/>
        <v>7450</v>
      </c>
      <c r="DB33" s="81">
        <f t="shared" si="42"/>
        <v>6100</v>
      </c>
      <c r="DC33" s="81">
        <f>SUM(DC4:DC32)</f>
        <v>1075</v>
      </c>
      <c r="DD33" s="81">
        <f t="shared" si="42"/>
        <v>20625</v>
      </c>
      <c r="DE33" s="81">
        <f t="shared" si="42"/>
        <v>6000</v>
      </c>
      <c r="DF33" s="81">
        <f t="shared" si="42"/>
        <v>6320</v>
      </c>
      <c r="DG33" s="81">
        <f t="shared" si="42"/>
        <v>5300</v>
      </c>
      <c r="DH33" s="81">
        <f>SUM(DH4:DH32)</f>
        <v>1650</v>
      </c>
      <c r="DI33" s="81">
        <f t="shared" si="42"/>
        <v>19270</v>
      </c>
      <c r="DJ33" s="81">
        <f t="shared" si="42"/>
        <v>6000</v>
      </c>
      <c r="DK33" s="81">
        <f t="shared" si="42"/>
        <v>6550</v>
      </c>
      <c r="DL33" s="81">
        <f t="shared" si="42"/>
        <v>4450</v>
      </c>
      <c r="DM33" s="81">
        <f>SUM(DM4:DM32)</f>
        <v>1375</v>
      </c>
      <c r="DN33" s="81">
        <f t="shared" ref="DN33:FX33" si="43">SUM(DN4:DN32)</f>
        <v>18375</v>
      </c>
      <c r="DO33" s="81">
        <f t="shared" si="43"/>
        <v>6600</v>
      </c>
      <c r="DP33" s="81">
        <f>SUM(DP4:DP32)</f>
        <v>5750</v>
      </c>
      <c r="DQ33" s="81">
        <f t="shared" si="43"/>
        <v>0</v>
      </c>
      <c r="DR33" s="81">
        <f t="shared" si="43"/>
        <v>0</v>
      </c>
      <c r="DS33" s="81">
        <f t="shared" si="43"/>
        <v>12350</v>
      </c>
      <c r="DT33" s="81">
        <f t="shared" si="43"/>
        <v>243835</v>
      </c>
      <c r="DU33" s="81">
        <f t="shared" si="43"/>
        <v>21430</v>
      </c>
      <c r="DV33" s="81">
        <f t="shared" si="43"/>
        <v>0</v>
      </c>
      <c r="DW33" s="81">
        <f t="shared" si="43"/>
        <v>0</v>
      </c>
      <c r="DX33" s="81">
        <f t="shared" si="43"/>
        <v>0</v>
      </c>
      <c r="DY33" s="81">
        <f t="shared" si="43"/>
        <v>21430</v>
      </c>
      <c r="DZ33" s="81">
        <f t="shared" si="43"/>
        <v>21150</v>
      </c>
      <c r="EA33" s="81">
        <f t="shared" si="43"/>
        <v>0</v>
      </c>
      <c r="EB33" s="81">
        <f t="shared" si="43"/>
        <v>0</v>
      </c>
      <c r="EC33" s="81">
        <f t="shared" si="43"/>
        <v>0</v>
      </c>
      <c r="ED33" s="81">
        <f t="shared" si="43"/>
        <v>21150</v>
      </c>
      <c r="EE33" s="81">
        <f t="shared" si="43"/>
        <v>20206.199999999997</v>
      </c>
      <c r="EF33" s="81">
        <f t="shared" si="43"/>
        <v>0</v>
      </c>
      <c r="EG33" s="81">
        <f t="shared" si="43"/>
        <v>0</v>
      </c>
      <c r="EH33" s="81">
        <f t="shared" si="43"/>
        <v>0</v>
      </c>
      <c r="EI33" s="81">
        <f t="shared" si="43"/>
        <v>20206.199999999997</v>
      </c>
      <c r="EJ33" s="81">
        <f t="shared" si="43"/>
        <v>20787.599999999999</v>
      </c>
      <c r="EK33" s="81">
        <f t="shared" si="43"/>
        <v>0</v>
      </c>
      <c r="EL33" s="81">
        <f t="shared" si="43"/>
        <v>0</v>
      </c>
      <c r="EM33" s="81">
        <f t="shared" si="43"/>
        <v>0</v>
      </c>
      <c r="EN33" s="81">
        <f t="shared" si="43"/>
        <v>20787.599999999999</v>
      </c>
      <c r="EO33" s="81">
        <f t="shared" si="43"/>
        <v>21114</v>
      </c>
      <c r="EP33" s="81">
        <f t="shared" si="43"/>
        <v>0</v>
      </c>
      <c r="EQ33" s="81">
        <f t="shared" si="43"/>
        <v>0</v>
      </c>
      <c r="ER33" s="81">
        <f t="shared" si="43"/>
        <v>0</v>
      </c>
      <c r="ES33" s="81">
        <f t="shared" si="43"/>
        <v>21114</v>
      </c>
      <c r="ET33" s="81">
        <f t="shared" si="43"/>
        <v>21144.6</v>
      </c>
      <c r="EU33" s="81">
        <f t="shared" si="43"/>
        <v>0</v>
      </c>
      <c r="EV33" s="81">
        <f t="shared" si="43"/>
        <v>0</v>
      </c>
      <c r="EW33" s="81">
        <f t="shared" si="43"/>
        <v>0</v>
      </c>
      <c r="EX33" s="81">
        <f t="shared" si="43"/>
        <v>21144.6</v>
      </c>
      <c r="EY33" s="81">
        <f t="shared" si="43"/>
        <v>21114</v>
      </c>
      <c r="EZ33" s="81">
        <f t="shared" si="43"/>
        <v>0</v>
      </c>
      <c r="FA33" s="81">
        <f t="shared" si="43"/>
        <v>0</v>
      </c>
      <c r="FB33" s="81">
        <f t="shared" si="43"/>
        <v>0</v>
      </c>
      <c r="FC33" s="81">
        <f t="shared" si="43"/>
        <v>21114</v>
      </c>
      <c r="FD33" s="81">
        <f t="shared" si="43"/>
        <v>20884.5</v>
      </c>
      <c r="FE33" s="81">
        <f t="shared" si="43"/>
        <v>0</v>
      </c>
      <c r="FF33" s="81">
        <f t="shared" si="43"/>
        <v>0</v>
      </c>
      <c r="FG33" s="81">
        <f t="shared" si="43"/>
        <v>0</v>
      </c>
      <c r="FH33" s="81">
        <f t="shared" si="43"/>
        <v>20884.5</v>
      </c>
      <c r="FI33" s="81">
        <f t="shared" si="43"/>
        <v>18936.3</v>
      </c>
      <c r="FJ33" s="81">
        <f t="shared" si="43"/>
        <v>0</v>
      </c>
      <c r="FK33" s="81">
        <f t="shared" si="43"/>
        <v>0</v>
      </c>
      <c r="FL33" s="81">
        <f t="shared" si="43"/>
        <v>0</v>
      </c>
      <c r="FM33" s="81">
        <f t="shared" si="43"/>
        <v>18936.3</v>
      </c>
      <c r="FN33" s="81">
        <f t="shared" si="43"/>
        <v>16110.9</v>
      </c>
      <c r="FO33" s="81">
        <f t="shared" si="43"/>
        <v>0</v>
      </c>
      <c r="FP33" s="81">
        <f t="shared" si="43"/>
        <v>0</v>
      </c>
      <c r="FQ33" s="81">
        <f t="shared" si="43"/>
        <v>0</v>
      </c>
      <c r="FR33" s="81">
        <f t="shared" si="43"/>
        <v>16110.9</v>
      </c>
      <c r="FS33" s="81">
        <f t="shared" si="43"/>
        <v>15957.9</v>
      </c>
      <c r="FT33" s="81">
        <f t="shared" si="43"/>
        <v>0</v>
      </c>
      <c r="FU33" s="81">
        <f t="shared" si="43"/>
        <v>0</v>
      </c>
      <c r="FV33" s="81">
        <f t="shared" si="43"/>
        <v>0</v>
      </c>
      <c r="FW33" s="81">
        <f t="shared" si="43"/>
        <v>15957.9</v>
      </c>
      <c r="FX33" s="81">
        <f t="shared" si="43"/>
        <v>15447.9</v>
      </c>
      <c r="FY33" s="81">
        <f t="shared" ref="FY33:GC33" si="44">SUM(FY4:FY32)</f>
        <v>0</v>
      </c>
      <c r="FZ33" s="81">
        <f t="shared" si="44"/>
        <v>0</v>
      </c>
      <c r="GA33" s="81">
        <f t="shared" si="44"/>
        <v>0</v>
      </c>
      <c r="GB33" s="81">
        <f t="shared" si="44"/>
        <v>15447.9</v>
      </c>
      <c r="GC33" s="81">
        <f t="shared" si="44"/>
        <v>234283.9</v>
      </c>
    </row>
    <row r="34" spans="2:185" x14ac:dyDescent="0.35">
      <c r="AU34" s="50">
        <f>AU33*6</f>
        <v>141234</v>
      </c>
      <c r="AZ34" s="50">
        <f>AZ33*6</f>
        <v>142698</v>
      </c>
      <c r="BE34" s="50">
        <f>BE33*6</f>
        <v>172338</v>
      </c>
      <c r="BJ34" s="50">
        <f>BJ33*6</f>
        <v>51714</v>
      </c>
      <c r="BK34" s="50">
        <f>BK33*6</f>
        <v>1263330</v>
      </c>
      <c r="BP34" s="50">
        <f>BP33*6</f>
        <v>117996</v>
      </c>
      <c r="BU34" s="50">
        <f>BU33*6</f>
        <v>148650</v>
      </c>
      <c r="BZ34" s="50">
        <f>BZ33*6</f>
        <v>129108</v>
      </c>
      <c r="CE34" s="50">
        <f>CE33*6</f>
        <v>135000</v>
      </c>
      <c r="CJ34" s="50">
        <f>CJ33*6</f>
        <v>145650</v>
      </c>
      <c r="CK34" s="40"/>
      <c r="CL34" s="40"/>
      <c r="CM34" s="40"/>
      <c r="CN34" s="40"/>
      <c r="CO34" s="50">
        <f>CO33*6</f>
        <v>127896</v>
      </c>
      <c r="CT34" s="50">
        <f>CT33*6</f>
        <v>118320</v>
      </c>
      <c r="CY34" s="50">
        <f>CY33*6</f>
        <v>116670</v>
      </c>
      <c r="DD34" s="50">
        <f>DD33*6</f>
        <v>123750</v>
      </c>
      <c r="DI34" s="50">
        <f>DI33*6</f>
        <v>115620</v>
      </c>
      <c r="DN34" s="50">
        <f>DN33*6</f>
        <v>110250</v>
      </c>
      <c r="DS34" s="50">
        <f>DS33*6</f>
        <v>74100</v>
      </c>
      <c r="DY34" s="50">
        <f>DY33*6</f>
        <v>128580</v>
      </c>
      <c r="ED34" s="50">
        <f>ED33*6</f>
        <v>126900</v>
      </c>
      <c r="EI34" s="50">
        <f>EI33*6</f>
        <v>121237.19999999998</v>
      </c>
      <c r="EN34" s="50">
        <f>EN33*6</f>
        <v>124725.59999999999</v>
      </c>
      <c r="ES34" s="50">
        <f>ES33*6</f>
        <v>126684</v>
      </c>
      <c r="ET34" s="40"/>
      <c r="EU34" s="40"/>
      <c r="EV34" s="40"/>
      <c r="EW34" s="40"/>
      <c r="EX34" s="50">
        <f>EX33*6</f>
        <v>126867.59999999999</v>
      </c>
      <c r="FC34" s="50">
        <f>FC33*6</f>
        <v>126684</v>
      </c>
      <c r="FH34" s="50">
        <f>FH33*6</f>
        <v>125307</v>
      </c>
      <c r="FM34" s="50">
        <f>FM33*6</f>
        <v>113617.79999999999</v>
      </c>
      <c r="FR34" s="50">
        <f>FR33*6</f>
        <v>96665.4</v>
      </c>
      <c r="FW34" s="50">
        <f>FW33*6</f>
        <v>95747.4</v>
      </c>
      <c r="GB34" s="50">
        <f>GB33*6</f>
        <v>92687.4</v>
      </c>
      <c r="GC34" s="2">
        <f>203000*6</f>
        <v>1218000</v>
      </c>
    </row>
    <row r="35" spans="2:185" x14ac:dyDescent="0.35">
      <c r="CJ35" s="40"/>
      <c r="CK35" s="40"/>
      <c r="CL35" s="40"/>
      <c r="CM35" s="40"/>
      <c r="CN35" s="40"/>
      <c r="CO35" s="40"/>
      <c r="DS35" s="1" t="s">
        <v>51</v>
      </c>
      <c r="DT35" s="10">
        <f>DT33*6</f>
        <v>1463010</v>
      </c>
      <c r="ES35" s="40"/>
      <c r="ET35" s="40"/>
      <c r="EU35" s="40"/>
      <c r="EV35" s="40"/>
      <c r="EW35" s="40"/>
      <c r="EX35" s="40"/>
      <c r="GC35" s="10"/>
    </row>
    <row r="36" spans="2:185" x14ac:dyDescent="0.35">
      <c r="DT36" s="10">
        <f>DT35/6</f>
        <v>243835</v>
      </c>
    </row>
    <row r="37" spans="2:185" x14ac:dyDescent="0.35">
      <c r="DS37" s="1" t="s">
        <v>52</v>
      </c>
      <c r="DT37" s="10">
        <v>1455000</v>
      </c>
    </row>
    <row r="38" spans="2:185" x14ac:dyDescent="0.35">
      <c r="BK38" s="10"/>
      <c r="DT38" s="10">
        <f>DT37/6</f>
        <v>242500</v>
      </c>
    </row>
    <row r="40" spans="2:185" x14ac:dyDescent="0.35">
      <c r="DT40" s="10"/>
    </row>
  </sheetData>
  <autoFilter ref="A3:GC3" xr:uid="{4D808F08-A0CC-467C-9D08-B62774B51FFF}"/>
  <mergeCells count="36">
    <mergeCell ref="FX2:GB2"/>
    <mergeCell ref="DU2:DY2"/>
    <mergeCell ref="EY2:FC2"/>
    <mergeCell ref="FD2:FH2"/>
    <mergeCell ref="FI2:FM2"/>
    <mergeCell ref="FN2:FR2"/>
    <mergeCell ref="FS2:FW2"/>
    <mergeCell ref="DZ2:ED2"/>
    <mergeCell ref="EE2:EI2"/>
    <mergeCell ref="EJ2:EN2"/>
    <mergeCell ref="EO2:ES2"/>
    <mergeCell ref="ET2:EX2"/>
    <mergeCell ref="DO2:DS2"/>
    <mergeCell ref="BL2:BP2"/>
    <mergeCell ref="BQ2:BU2"/>
    <mergeCell ref="BV2:BZ2"/>
    <mergeCell ref="CA2:CE2"/>
    <mergeCell ref="CF2:CJ2"/>
    <mergeCell ref="CK2:CO2"/>
    <mergeCell ref="CP2:CT2"/>
    <mergeCell ref="CU2:CY2"/>
    <mergeCell ref="CZ2:DD2"/>
    <mergeCell ref="DE2:DI2"/>
    <mergeCell ref="DJ2:DN2"/>
    <mergeCell ref="BF2:BJ2"/>
    <mergeCell ref="C2:G2"/>
    <mergeCell ref="H2:L2"/>
    <mergeCell ref="M2:Q2"/>
    <mergeCell ref="R2:V2"/>
    <mergeCell ref="W2:AA2"/>
    <mergeCell ref="AB2:AF2"/>
    <mergeCell ref="AG2:AK2"/>
    <mergeCell ref="AL2:AP2"/>
    <mergeCell ref="AQ2:AU2"/>
    <mergeCell ref="AV2:AZ2"/>
    <mergeCell ref="BA2:BE2"/>
  </mergeCells>
  <phoneticPr fontId="5" type="noConversion"/>
  <pageMargins left="0.7" right="0.7" top="0.75" bottom="0.75" header="0.3" footer="0.3"/>
  <pageSetup orientation="portrait" r:id="rId1"/>
  <headerFooter>
    <oddFooter>&amp;L_x000D_&amp;1#&amp;"Aptos"&amp;10&amp;K000000 Confidential External</oddFooter>
  </headerFooter>
  <ignoredErrors>
    <ignoredError sqref="C33 H33 M33 R33 W33 AB33 AG33 AL33 AQ33 AV3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EAFB-6861-4FA1-9D18-EA2ABBC3E52E}">
  <sheetPr codeName="Sheet6">
    <tabColor rgb="FF92D050"/>
  </sheetPr>
  <dimension ref="A1:GC35"/>
  <sheetViews>
    <sheetView zoomScale="70" zoomScaleNormal="70" workbookViewId="0">
      <pane xSplit="6" topLeftCell="BJ1" activePane="topRight" state="frozen"/>
      <selection activeCell="A4" sqref="A4"/>
      <selection pane="topRight" activeCell="CY12" sqref="CY12"/>
    </sheetView>
  </sheetViews>
  <sheetFormatPr defaultColWidth="8.81640625" defaultRowHeight="14.5" outlineLevelCol="1" x14ac:dyDescent="0.35"/>
  <cols>
    <col min="1" max="1" width="8.81640625" style="1"/>
    <col min="2" max="2" width="30.453125" style="1" bestFit="1" customWidth="1"/>
    <col min="3" max="5" width="8.81640625" style="1" hidden="1" customWidth="1" outlineLevel="1"/>
    <col min="6" max="6" width="5.26953125" style="1" hidden="1" customWidth="1" outlineLevel="1"/>
    <col min="7" max="7" width="11.1796875" style="1" customWidth="1" collapsed="1"/>
    <col min="8" max="11" width="8.81640625" style="1" hidden="1" customWidth="1" outlineLevel="1"/>
    <col min="12" max="12" width="12" style="1" customWidth="1" collapsed="1"/>
    <col min="13" max="16" width="9.26953125" style="1" hidden="1" customWidth="1" outlineLevel="1"/>
    <col min="17" max="17" width="9.26953125" style="1" customWidth="1" collapsed="1"/>
    <col min="18" max="21" width="9.26953125" style="1" hidden="1" customWidth="1" outlineLevel="1"/>
    <col min="22" max="22" width="11.7265625" style="1" customWidth="1" collapsed="1"/>
    <col min="23" max="26" width="9.26953125" style="1" hidden="1" customWidth="1" outlineLevel="1"/>
    <col min="27" max="27" width="11.7265625" style="1" customWidth="1" collapsed="1"/>
    <col min="28" max="31" width="9.26953125" style="1" hidden="1" customWidth="1" outlineLevel="1"/>
    <col min="32" max="32" width="11.7265625" style="1" customWidth="1" collapsed="1"/>
    <col min="33" max="35" width="9.26953125" style="1" hidden="1" customWidth="1" outlineLevel="1"/>
    <col min="36" max="36" width="4" style="1" hidden="1" customWidth="1" outlineLevel="1"/>
    <col min="37" max="37" width="9.26953125" style="1" customWidth="1" collapsed="1"/>
    <col min="38" max="40" width="9.26953125" style="1" hidden="1" customWidth="1" outlineLevel="1"/>
    <col min="41" max="41" width="10.26953125" style="1" hidden="1" customWidth="1" outlineLevel="1"/>
    <col min="42" max="42" width="9.26953125" style="1" customWidth="1" collapsed="1"/>
    <col min="43" max="46" width="9.26953125" style="1" hidden="1" customWidth="1" outlineLevel="1"/>
    <col min="47" max="47" width="9.26953125" style="1" customWidth="1" collapsed="1"/>
    <col min="48" max="51" width="9.26953125" style="1" hidden="1" customWidth="1" outlineLevel="1"/>
    <col min="52" max="52" width="9.26953125" style="1" customWidth="1" collapsed="1"/>
    <col min="53" max="56" width="9.26953125" style="1" hidden="1" customWidth="1" outlineLevel="1"/>
    <col min="57" max="57" width="9.26953125" style="1" customWidth="1" collapsed="1"/>
    <col min="58" max="61" width="9.26953125" style="1" hidden="1" customWidth="1" outlineLevel="1"/>
    <col min="62" max="62" width="10.7265625" style="1" customWidth="1" collapsed="1"/>
    <col min="63" max="63" width="10.453125" style="2" customWidth="1"/>
    <col min="64" max="67" width="9.26953125" style="1" hidden="1" customWidth="1" outlineLevel="1"/>
    <col min="68" max="68" width="9.26953125" style="1" customWidth="1" collapsed="1"/>
    <col min="69" max="72" width="9.26953125" style="1" hidden="1" customWidth="1" outlineLevel="1"/>
    <col min="73" max="73" width="9.26953125" style="1" customWidth="1" collapsed="1"/>
    <col min="74" max="77" width="9.26953125" style="1" hidden="1" customWidth="1" outlineLevel="1"/>
    <col min="78" max="78" width="9.26953125" style="1" customWidth="1" collapsed="1"/>
    <col min="79" max="82" width="9.26953125" style="1" hidden="1" customWidth="1" outlineLevel="1"/>
    <col min="83" max="83" width="9.26953125" style="1" customWidth="1" collapsed="1"/>
    <col min="84" max="87" width="9.26953125" style="1" hidden="1" customWidth="1" outlineLevel="1"/>
    <col min="88" max="88" width="9.26953125" style="1" customWidth="1" collapsed="1"/>
    <col min="89" max="92" width="9.26953125" style="1" hidden="1" customWidth="1" outlineLevel="1"/>
    <col min="93" max="93" width="9.26953125" style="1" customWidth="1" collapsed="1"/>
    <col min="94" max="97" width="9.26953125" style="1" hidden="1" customWidth="1" outlineLevel="1"/>
    <col min="98" max="98" width="9.26953125" style="1" customWidth="1" collapsed="1"/>
    <col min="99" max="102" width="9.26953125" style="1" hidden="1" customWidth="1" outlineLevel="1"/>
    <col min="103" max="103" width="9.26953125" style="1" customWidth="1" collapsed="1"/>
    <col min="104" max="107" width="9.26953125" style="1" hidden="1" customWidth="1" outlineLevel="1"/>
    <col min="108" max="108" width="9.26953125" style="1" customWidth="1" collapsed="1"/>
    <col min="109" max="112" width="9.26953125" style="1" hidden="1" customWidth="1" outlineLevel="1"/>
    <col min="113" max="113" width="9.26953125" style="1" customWidth="1" collapsed="1"/>
    <col min="114" max="117" width="9.26953125" style="1" hidden="1" customWidth="1" outlineLevel="1"/>
    <col min="118" max="118" width="9.26953125" style="1" customWidth="1" collapsed="1"/>
    <col min="119" max="122" width="9.26953125" style="1" hidden="1" customWidth="1" outlineLevel="1"/>
    <col min="123" max="123" width="9.26953125" style="1" customWidth="1" collapsed="1"/>
    <col min="124" max="124" width="10.453125" style="2" bestFit="1" customWidth="1"/>
    <col min="125" max="125" width="9.7265625" style="1" hidden="1" customWidth="1" outlineLevel="1" collapsed="1"/>
    <col min="126" max="128" width="9.7265625" style="1" hidden="1" customWidth="1" outlineLevel="1"/>
    <col min="129" max="129" width="9.7265625" style="1" customWidth="1" collapsed="1"/>
    <col min="130" max="133" width="9.26953125" style="1" hidden="1" customWidth="1" outlineLevel="1"/>
    <col min="134" max="134" width="9.26953125" style="1" customWidth="1" collapsed="1"/>
    <col min="135" max="138" width="9.26953125" style="1" hidden="1" customWidth="1" outlineLevel="1"/>
    <col min="139" max="139" width="9.26953125" style="1" customWidth="1" collapsed="1"/>
    <col min="140" max="143" width="9.26953125" style="1" hidden="1" customWidth="1" outlineLevel="1"/>
    <col min="144" max="144" width="9.26953125" style="1" customWidth="1" collapsed="1"/>
    <col min="145" max="148" width="9.26953125" style="1" hidden="1" customWidth="1" outlineLevel="1"/>
    <col min="149" max="149" width="8.54296875" style="1" bestFit="1" customWidth="1" collapsed="1"/>
    <col min="150" max="153" width="9.26953125" style="1" hidden="1" customWidth="1" outlineLevel="1"/>
    <col min="154" max="154" width="8.54296875" style="1" bestFit="1" customWidth="1" collapsed="1"/>
    <col min="155" max="158" width="9.26953125" style="1" hidden="1" customWidth="1" outlineLevel="1"/>
    <col min="159" max="159" width="9.26953125" style="1" customWidth="1" collapsed="1"/>
    <col min="160" max="163" width="9.26953125" style="1" hidden="1" customWidth="1" outlineLevel="1"/>
    <col min="164" max="164" width="9.26953125" style="1" customWidth="1" collapsed="1"/>
    <col min="165" max="168" width="9.26953125" style="1" hidden="1" customWidth="1" outlineLevel="1"/>
    <col min="169" max="169" width="9.26953125" style="1" customWidth="1" collapsed="1"/>
    <col min="170" max="173" width="9.26953125" style="1" hidden="1" customWidth="1" outlineLevel="1"/>
    <col min="174" max="174" width="9.26953125" style="1" customWidth="1" collapsed="1"/>
    <col min="175" max="178" width="9.26953125" style="1" hidden="1" customWidth="1" outlineLevel="1"/>
    <col min="179" max="179" width="9.26953125" style="1" customWidth="1" collapsed="1"/>
    <col min="180" max="183" width="9.26953125" style="1" hidden="1" customWidth="1" outlineLevel="1"/>
    <col min="184" max="184" width="9.26953125" style="1" customWidth="1" collapsed="1"/>
    <col min="185" max="185" width="11.26953125" style="2" bestFit="1" customWidth="1"/>
    <col min="186" max="16384" width="8.81640625" style="1"/>
  </cols>
  <sheetData>
    <row r="1" spans="1:185" ht="15.75" customHeight="1" x14ac:dyDescent="0.35"/>
    <row r="2" spans="1:185" s="6" customFormat="1" ht="15.75" customHeight="1" x14ac:dyDescent="0.35">
      <c r="B2" s="6" t="s">
        <v>0</v>
      </c>
      <c r="C2" s="156">
        <v>45658</v>
      </c>
      <c r="D2" s="156"/>
      <c r="E2" s="156"/>
      <c r="F2" s="156"/>
      <c r="G2" s="156"/>
      <c r="H2" s="156">
        <v>45689</v>
      </c>
      <c r="I2" s="156"/>
      <c r="J2" s="156"/>
      <c r="K2" s="156"/>
      <c r="L2" s="156"/>
      <c r="M2" s="156">
        <v>45717</v>
      </c>
      <c r="N2" s="156"/>
      <c r="O2" s="156"/>
      <c r="P2" s="156"/>
      <c r="Q2" s="156"/>
      <c r="R2" s="156">
        <v>45748</v>
      </c>
      <c r="S2" s="156"/>
      <c r="T2" s="156"/>
      <c r="U2" s="156"/>
      <c r="V2" s="156"/>
      <c r="W2" s="156">
        <v>45778</v>
      </c>
      <c r="X2" s="156"/>
      <c r="Y2" s="156"/>
      <c r="Z2" s="156"/>
      <c r="AA2" s="156"/>
      <c r="AB2" s="156">
        <v>45809</v>
      </c>
      <c r="AC2" s="156"/>
      <c r="AD2" s="156"/>
      <c r="AE2" s="156"/>
      <c r="AF2" s="156"/>
      <c r="AG2" s="156">
        <v>45839</v>
      </c>
      <c r="AH2" s="156"/>
      <c r="AI2" s="156"/>
      <c r="AJ2" s="156"/>
      <c r="AK2" s="156"/>
      <c r="AL2" s="157">
        <v>45870</v>
      </c>
      <c r="AM2" s="158"/>
      <c r="AN2" s="158"/>
      <c r="AO2" s="158"/>
      <c r="AP2" s="160"/>
      <c r="AQ2" s="156">
        <v>45901</v>
      </c>
      <c r="AR2" s="156"/>
      <c r="AS2" s="156"/>
      <c r="AT2" s="156"/>
      <c r="AU2" s="161"/>
      <c r="AV2" s="157">
        <v>45931</v>
      </c>
      <c r="AW2" s="158"/>
      <c r="AX2" s="158"/>
      <c r="AY2" s="158"/>
      <c r="AZ2" s="160"/>
      <c r="BA2" s="156">
        <v>45962</v>
      </c>
      <c r="BB2" s="156"/>
      <c r="BC2" s="156"/>
      <c r="BD2" s="156"/>
      <c r="BE2" s="156"/>
      <c r="BF2" s="156">
        <v>45992</v>
      </c>
      <c r="BG2" s="156"/>
      <c r="BH2" s="156"/>
      <c r="BI2" s="156"/>
      <c r="BJ2" s="156"/>
      <c r="BK2" s="11" t="s">
        <v>1</v>
      </c>
      <c r="BL2" s="156">
        <v>46023</v>
      </c>
      <c r="BM2" s="156"/>
      <c r="BN2" s="156"/>
      <c r="BO2" s="156"/>
      <c r="BP2" s="156"/>
      <c r="BQ2" s="156">
        <v>46054</v>
      </c>
      <c r="BR2" s="156"/>
      <c r="BS2" s="156"/>
      <c r="BT2" s="156"/>
      <c r="BU2" s="156"/>
      <c r="BV2" s="156">
        <v>46082</v>
      </c>
      <c r="BW2" s="156"/>
      <c r="BX2" s="156"/>
      <c r="BY2" s="156"/>
      <c r="BZ2" s="156"/>
      <c r="CA2" s="156">
        <v>46113</v>
      </c>
      <c r="CB2" s="156"/>
      <c r="CC2" s="156"/>
      <c r="CD2" s="156"/>
      <c r="CE2" s="156"/>
      <c r="CF2" s="156">
        <v>46143</v>
      </c>
      <c r="CG2" s="156"/>
      <c r="CH2" s="156"/>
      <c r="CI2" s="156"/>
      <c r="CJ2" s="156"/>
      <c r="CK2" s="156">
        <v>46174</v>
      </c>
      <c r="CL2" s="156"/>
      <c r="CM2" s="156"/>
      <c r="CN2" s="156"/>
      <c r="CO2" s="156"/>
      <c r="CP2" s="156">
        <v>46204</v>
      </c>
      <c r="CQ2" s="156"/>
      <c r="CR2" s="156"/>
      <c r="CS2" s="156"/>
      <c r="CT2" s="156"/>
      <c r="CU2" s="156">
        <v>46235</v>
      </c>
      <c r="CV2" s="156"/>
      <c r="CW2" s="156"/>
      <c r="CX2" s="156"/>
      <c r="CY2" s="156"/>
      <c r="CZ2" s="156">
        <v>46266</v>
      </c>
      <c r="DA2" s="156"/>
      <c r="DB2" s="156"/>
      <c r="DC2" s="156"/>
      <c r="DD2" s="156"/>
      <c r="DE2" s="156">
        <v>46296</v>
      </c>
      <c r="DF2" s="156"/>
      <c r="DG2" s="156"/>
      <c r="DH2" s="156"/>
      <c r="DI2" s="156"/>
      <c r="DJ2" s="156">
        <v>46327</v>
      </c>
      <c r="DK2" s="156"/>
      <c r="DL2" s="156"/>
      <c r="DM2" s="156"/>
      <c r="DN2" s="156"/>
      <c r="DO2" s="156">
        <v>46357</v>
      </c>
      <c r="DP2" s="156"/>
      <c r="DQ2" s="156"/>
      <c r="DR2" s="156"/>
      <c r="DS2" s="156"/>
      <c r="DT2" s="11" t="s">
        <v>2</v>
      </c>
      <c r="DU2" s="157">
        <v>46388</v>
      </c>
      <c r="DV2" s="158"/>
      <c r="DW2" s="158"/>
      <c r="DX2" s="158"/>
      <c r="DY2" s="160"/>
      <c r="DZ2" s="157">
        <v>46419</v>
      </c>
      <c r="EA2" s="158"/>
      <c r="EB2" s="158"/>
      <c r="EC2" s="158"/>
      <c r="ED2" s="160"/>
      <c r="EE2" s="157">
        <v>46447</v>
      </c>
      <c r="EF2" s="158"/>
      <c r="EG2" s="158"/>
      <c r="EH2" s="158"/>
      <c r="EI2" s="160"/>
      <c r="EJ2" s="157">
        <v>46478</v>
      </c>
      <c r="EK2" s="158"/>
      <c r="EL2" s="158"/>
      <c r="EM2" s="158"/>
      <c r="EN2" s="160"/>
      <c r="EO2" s="157">
        <v>46508</v>
      </c>
      <c r="EP2" s="158"/>
      <c r="EQ2" s="158"/>
      <c r="ER2" s="158"/>
      <c r="ES2" s="160"/>
      <c r="ET2" s="157">
        <v>46539</v>
      </c>
      <c r="EU2" s="158"/>
      <c r="EV2" s="158"/>
      <c r="EW2" s="158"/>
      <c r="EX2" s="160"/>
      <c r="EY2" s="157">
        <v>46569</v>
      </c>
      <c r="EZ2" s="158"/>
      <c r="FA2" s="158"/>
      <c r="FB2" s="158"/>
      <c r="FC2" s="160"/>
      <c r="FD2" s="157">
        <v>46600</v>
      </c>
      <c r="FE2" s="158"/>
      <c r="FF2" s="158"/>
      <c r="FG2" s="158"/>
      <c r="FH2" s="160"/>
      <c r="FI2" s="157">
        <v>46631</v>
      </c>
      <c r="FJ2" s="158"/>
      <c r="FK2" s="158"/>
      <c r="FL2" s="158"/>
      <c r="FM2" s="160"/>
      <c r="FN2" s="157">
        <v>46661</v>
      </c>
      <c r="FO2" s="158"/>
      <c r="FP2" s="158"/>
      <c r="FQ2" s="158"/>
      <c r="FR2" s="160"/>
      <c r="FS2" s="157">
        <v>46692</v>
      </c>
      <c r="FT2" s="158"/>
      <c r="FU2" s="158"/>
      <c r="FV2" s="158"/>
      <c r="FW2" s="160"/>
      <c r="FX2" s="157">
        <v>46722</v>
      </c>
      <c r="FY2" s="158"/>
      <c r="FZ2" s="158"/>
      <c r="GA2" s="158"/>
      <c r="GB2" s="159"/>
      <c r="GC2" s="11" t="s">
        <v>2</v>
      </c>
    </row>
    <row r="3" spans="1:185" s="6" customFormat="1" x14ac:dyDescent="0.35">
      <c r="B3" s="6" t="s">
        <v>0</v>
      </c>
      <c r="C3" s="37" t="s">
        <v>42</v>
      </c>
      <c r="D3" s="37" t="s">
        <v>43</v>
      </c>
      <c r="E3" s="37" t="s">
        <v>44</v>
      </c>
      <c r="F3" s="37" t="s">
        <v>45</v>
      </c>
      <c r="G3" s="79" t="s">
        <v>46</v>
      </c>
      <c r="H3" s="37" t="s">
        <v>42</v>
      </c>
      <c r="I3" s="37" t="s">
        <v>43</v>
      </c>
      <c r="J3" s="37" t="s">
        <v>44</v>
      </c>
      <c r="K3" s="37" t="s">
        <v>45</v>
      </c>
      <c r="L3" s="79" t="s">
        <v>46</v>
      </c>
      <c r="M3" s="37" t="s">
        <v>42</v>
      </c>
      <c r="N3" s="37" t="s">
        <v>43</v>
      </c>
      <c r="O3" s="37" t="s">
        <v>44</v>
      </c>
      <c r="P3" s="37" t="s">
        <v>45</v>
      </c>
      <c r="Q3" s="79" t="s">
        <v>46</v>
      </c>
      <c r="R3" s="37" t="s">
        <v>42</v>
      </c>
      <c r="S3" s="37" t="s">
        <v>43</v>
      </c>
      <c r="T3" s="37" t="s">
        <v>44</v>
      </c>
      <c r="U3" s="37" t="s">
        <v>45</v>
      </c>
      <c r="V3" s="79" t="s">
        <v>46</v>
      </c>
      <c r="W3" s="37" t="s">
        <v>42</v>
      </c>
      <c r="X3" s="37" t="s">
        <v>43</v>
      </c>
      <c r="Y3" s="37" t="s">
        <v>44</v>
      </c>
      <c r="Z3" s="37" t="s">
        <v>45</v>
      </c>
      <c r="AA3" s="79" t="s">
        <v>46</v>
      </c>
      <c r="AB3" s="37" t="s">
        <v>42</v>
      </c>
      <c r="AC3" s="37" t="s">
        <v>43</v>
      </c>
      <c r="AD3" s="37" t="s">
        <v>44</v>
      </c>
      <c r="AE3" s="37" t="s">
        <v>45</v>
      </c>
      <c r="AF3" s="79" t="s">
        <v>46</v>
      </c>
      <c r="AG3" s="37" t="s">
        <v>42</v>
      </c>
      <c r="AH3" s="37" t="s">
        <v>43</v>
      </c>
      <c r="AI3" s="37" t="s">
        <v>44</v>
      </c>
      <c r="AJ3" s="37" t="s">
        <v>45</v>
      </c>
      <c r="AK3" s="79" t="s">
        <v>46</v>
      </c>
      <c r="AL3" s="37" t="s">
        <v>42</v>
      </c>
      <c r="AM3" s="37" t="s">
        <v>43</v>
      </c>
      <c r="AN3" s="37" t="s">
        <v>44</v>
      </c>
      <c r="AO3" s="37" t="s">
        <v>45</v>
      </c>
      <c r="AP3" s="79" t="s">
        <v>46</v>
      </c>
      <c r="AQ3" s="37" t="s">
        <v>42</v>
      </c>
      <c r="AR3" s="37" t="s">
        <v>43</v>
      </c>
      <c r="AS3" s="37" t="s">
        <v>44</v>
      </c>
      <c r="AT3" s="77" t="s">
        <v>45</v>
      </c>
      <c r="AU3" s="79" t="s">
        <v>46</v>
      </c>
      <c r="AV3" s="78" t="s">
        <v>42</v>
      </c>
      <c r="AW3" s="37" t="s">
        <v>43</v>
      </c>
      <c r="AX3" s="37" t="s">
        <v>44</v>
      </c>
      <c r="AY3" s="77" t="s">
        <v>45</v>
      </c>
      <c r="AZ3" s="79" t="s">
        <v>46</v>
      </c>
      <c r="BA3" s="37" t="s">
        <v>42</v>
      </c>
      <c r="BB3" s="37" t="s">
        <v>43</v>
      </c>
      <c r="BC3" s="37" t="s">
        <v>44</v>
      </c>
      <c r="BD3" s="37" t="s">
        <v>45</v>
      </c>
      <c r="BE3" s="79" t="s">
        <v>46</v>
      </c>
      <c r="BF3" s="37" t="s">
        <v>42</v>
      </c>
      <c r="BG3" s="37" t="s">
        <v>43</v>
      </c>
      <c r="BH3" s="37" t="s">
        <v>44</v>
      </c>
      <c r="BI3" s="37" t="s">
        <v>45</v>
      </c>
      <c r="BJ3" s="79" t="s">
        <v>46</v>
      </c>
      <c r="BK3" s="14"/>
      <c r="BL3" s="37" t="s">
        <v>42</v>
      </c>
      <c r="BM3" s="37" t="s">
        <v>43</v>
      </c>
      <c r="BN3" s="37" t="s">
        <v>44</v>
      </c>
      <c r="BO3" s="37" t="s">
        <v>45</v>
      </c>
      <c r="BP3" s="79" t="s">
        <v>46</v>
      </c>
      <c r="BQ3" s="37" t="s">
        <v>42</v>
      </c>
      <c r="BR3" s="37" t="s">
        <v>43</v>
      </c>
      <c r="BS3" s="37" t="s">
        <v>44</v>
      </c>
      <c r="BT3" s="37" t="s">
        <v>45</v>
      </c>
      <c r="BU3" s="79" t="s">
        <v>46</v>
      </c>
      <c r="BV3" s="37" t="s">
        <v>42</v>
      </c>
      <c r="BW3" s="37" t="s">
        <v>43</v>
      </c>
      <c r="BX3" s="37" t="s">
        <v>44</v>
      </c>
      <c r="BY3" s="37" t="s">
        <v>45</v>
      </c>
      <c r="BZ3" s="79" t="s">
        <v>46</v>
      </c>
      <c r="CA3" s="37" t="s">
        <v>42</v>
      </c>
      <c r="CB3" s="37" t="s">
        <v>43</v>
      </c>
      <c r="CC3" s="37" t="s">
        <v>44</v>
      </c>
      <c r="CD3" s="37" t="s">
        <v>45</v>
      </c>
      <c r="CE3" s="79" t="s">
        <v>46</v>
      </c>
      <c r="CF3" s="37" t="s">
        <v>42</v>
      </c>
      <c r="CG3" s="37" t="s">
        <v>43</v>
      </c>
      <c r="CH3" s="37" t="s">
        <v>44</v>
      </c>
      <c r="CI3" s="37" t="s">
        <v>45</v>
      </c>
      <c r="CJ3" s="79" t="s">
        <v>46</v>
      </c>
      <c r="CK3" s="37" t="s">
        <v>42</v>
      </c>
      <c r="CL3" s="37" t="s">
        <v>43</v>
      </c>
      <c r="CM3" s="37" t="s">
        <v>44</v>
      </c>
      <c r="CN3" s="37" t="s">
        <v>45</v>
      </c>
      <c r="CO3" s="79" t="s">
        <v>46</v>
      </c>
      <c r="CP3" s="37" t="s">
        <v>42</v>
      </c>
      <c r="CQ3" s="37" t="s">
        <v>43</v>
      </c>
      <c r="CR3" s="37" t="s">
        <v>44</v>
      </c>
      <c r="CS3" s="37" t="s">
        <v>45</v>
      </c>
      <c r="CT3" s="79" t="s">
        <v>46</v>
      </c>
      <c r="CU3" s="37" t="s">
        <v>42</v>
      </c>
      <c r="CV3" s="37" t="s">
        <v>43</v>
      </c>
      <c r="CW3" s="37" t="s">
        <v>44</v>
      </c>
      <c r="CX3" s="37" t="s">
        <v>45</v>
      </c>
      <c r="CY3" s="79" t="s">
        <v>46</v>
      </c>
      <c r="CZ3" s="37" t="s">
        <v>42</v>
      </c>
      <c r="DA3" s="37" t="s">
        <v>43</v>
      </c>
      <c r="DB3" s="37" t="s">
        <v>44</v>
      </c>
      <c r="DC3" s="37" t="s">
        <v>45</v>
      </c>
      <c r="DD3" s="79" t="s">
        <v>46</v>
      </c>
      <c r="DE3" s="37" t="s">
        <v>42</v>
      </c>
      <c r="DF3" s="37" t="s">
        <v>43</v>
      </c>
      <c r="DG3" s="37" t="s">
        <v>44</v>
      </c>
      <c r="DH3" s="37" t="s">
        <v>45</v>
      </c>
      <c r="DI3" s="79" t="s">
        <v>46</v>
      </c>
      <c r="DJ3" s="37" t="s">
        <v>42</v>
      </c>
      <c r="DK3" s="37" t="s">
        <v>43</v>
      </c>
      <c r="DL3" s="37" t="s">
        <v>44</v>
      </c>
      <c r="DM3" s="37" t="s">
        <v>45</v>
      </c>
      <c r="DN3" s="79" t="s">
        <v>46</v>
      </c>
      <c r="DO3" s="37" t="s">
        <v>42</v>
      </c>
      <c r="DP3" s="37" t="s">
        <v>43</v>
      </c>
      <c r="DQ3" s="37" t="s">
        <v>44</v>
      </c>
      <c r="DR3" s="37" t="s">
        <v>45</v>
      </c>
      <c r="DS3" s="79" t="s">
        <v>46</v>
      </c>
      <c r="DT3" s="14"/>
      <c r="DU3" s="37" t="s">
        <v>42</v>
      </c>
      <c r="DV3" s="37" t="s">
        <v>43</v>
      </c>
      <c r="DW3" s="37" t="s">
        <v>44</v>
      </c>
      <c r="DX3" s="37" t="s">
        <v>45</v>
      </c>
      <c r="DY3" s="79" t="s">
        <v>46</v>
      </c>
      <c r="DZ3" s="37" t="s">
        <v>42</v>
      </c>
      <c r="EA3" s="37" t="s">
        <v>43</v>
      </c>
      <c r="EB3" s="37" t="s">
        <v>44</v>
      </c>
      <c r="EC3" s="37" t="s">
        <v>45</v>
      </c>
      <c r="ED3" s="79" t="s">
        <v>46</v>
      </c>
      <c r="EE3" s="37" t="s">
        <v>42</v>
      </c>
      <c r="EF3" s="37" t="s">
        <v>43</v>
      </c>
      <c r="EG3" s="37" t="s">
        <v>44</v>
      </c>
      <c r="EH3" s="37" t="s">
        <v>45</v>
      </c>
      <c r="EI3" s="79" t="s">
        <v>46</v>
      </c>
      <c r="EJ3" s="37" t="s">
        <v>42</v>
      </c>
      <c r="EK3" s="37" t="s">
        <v>43</v>
      </c>
      <c r="EL3" s="37" t="s">
        <v>44</v>
      </c>
      <c r="EM3" s="37" t="s">
        <v>45</v>
      </c>
      <c r="EN3" s="79" t="s">
        <v>46</v>
      </c>
      <c r="EO3" s="37" t="s">
        <v>42</v>
      </c>
      <c r="EP3" s="37" t="s">
        <v>43</v>
      </c>
      <c r="EQ3" s="37" t="s">
        <v>44</v>
      </c>
      <c r="ER3" s="37" t="s">
        <v>45</v>
      </c>
      <c r="ES3" s="79" t="s">
        <v>46</v>
      </c>
      <c r="ET3" s="37" t="s">
        <v>42</v>
      </c>
      <c r="EU3" s="37" t="s">
        <v>43</v>
      </c>
      <c r="EV3" s="37" t="s">
        <v>44</v>
      </c>
      <c r="EW3" s="37" t="s">
        <v>45</v>
      </c>
      <c r="EX3" s="79" t="s">
        <v>46</v>
      </c>
      <c r="EY3" s="37" t="s">
        <v>42</v>
      </c>
      <c r="EZ3" s="37" t="s">
        <v>43</v>
      </c>
      <c r="FA3" s="37" t="s">
        <v>44</v>
      </c>
      <c r="FB3" s="37" t="s">
        <v>45</v>
      </c>
      <c r="FC3" s="79" t="s">
        <v>46</v>
      </c>
      <c r="FD3" s="37" t="s">
        <v>42</v>
      </c>
      <c r="FE3" s="37" t="s">
        <v>43</v>
      </c>
      <c r="FF3" s="37" t="s">
        <v>44</v>
      </c>
      <c r="FG3" s="37" t="s">
        <v>45</v>
      </c>
      <c r="FH3" s="79" t="s">
        <v>46</v>
      </c>
      <c r="FI3" s="37" t="s">
        <v>42</v>
      </c>
      <c r="FJ3" s="37" t="s">
        <v>43</v>
      </c>
      <c r="FK3" s="37" t="s">
        <v>44</v>
      </c>
      <c r="FL3" s="37" t="s">
        <v>45</v>
      </c>
      <c r="FM3" s="79" t="s">
        <v>46</v>
      </c>
      <c r="FN3" s="37" t="s">
        <v>42</v>
      </c>
      <c r="FO3" s="37" t="s">
        <v>43</v>
      </c>
      <c r="FP3" s="37" t="s">
        <v>44</v>
      </c>
      <c r="FQ3" s="37" t="s">
        <v>45</v>
      </c>
      <c r="FR3" s="79" t="s">
        <v>46</v>
      </c>
      <c r="FS3" s="37" t="s">
        <v>42</v>
      </c>
      <c r="FT3" s="37" t="s">
        <v>43</v>
      </c>
      <c r="FU3" s="37" t="s">
        <v>44</v>
      </c>
      <c r="FV3" s="37" t="s">
        <v>45</v>
      </c>
      <c r="FW3" s="79" t="s">
        <v>46</v>
      </c>
      <c r="FX3" s="37" t="s">
        <v>42</v>
      </c>
      <c r="FY3" s="37" t="s">
        <v>43</v>
      </c>
      <c r="FZ3" s="37" t="s">
        <v>44</v>
      </c>
      <c r="GA3" s="37" t="s">
        <v>45</v>
      </c>
      <c r="GB3" s="79" t="s">
        <v>46</v>
      </c>
      <c r="GC3" s="14"/>
    </row>
    <row r="4" spans="1:185" s="3" customFormat="1" x14ac:dyDescent="0.35">
      <c r="A4" s="3" t="s">
        <v>4</v>
      </c>
      <c r="B4" s="1" t="s">
        <v>5</v>
      </c>
      <c r="G4" s="80">
        <v>250</v>
      </c>
      <c r="H4" s="3">
        <v>0</v>
      </c>
      <c r="I4" s="3">
        <v>0</v>
      </c>
      <c r="J4" s="3">
        <v>0</v>
      </c>
      <c r="K4" s="3">
        <v>0</v>
      </c>
      <c r="L4" s="80">
        <v>0</v>
      </c>
      <c r="M4" s="3">
        <v>0</v>
      </c>
      <c r="N4" s="3">
        <v>0</v>
      </c>
      <c r="O4" s="3">
        <v>0</v>
      </c>
      <c r="P4" s="3">
        <v>0</v>
      </c>
      <c r="Q4" s="80">
        <v>770</v>
      </c>
      <c r="R4" s="3">
        <v>0</v>
      </c>
      <c r="S4" s="3">
        <v>0</v>
      </c>
      <c r="T4" s="3">
        <v>0</v>
      </c>
      <c r="U4" s="3">
        <v>0</v>
      </c>
      <c r="V4" s="80">
        <v>0</v>
      </c>
      <c r="W4" s="3">
        <v>0</v>
      </c>
      <c r="X4" s="3">
        <v>0</v>
      </c>
      <c r="Y4" s="3">
        <v>0</v>
      </c>
      <c r="Z4" s="3">
        <v>0</v>
      </c>
      <c r="AA4" s="80">
        <v>0</v>
      </c>
      <c r="AB4" s="3">
        <v>0</v>
      </c>
      <c r="AC4" s="3">
        <v>0</v>
      </c>
      <c r="AD4" s="3">
        <v>0</v>
      </c>
      <c r="AE4" s="3">
        <v>0</v>
      </c>
      <c r="AF4" s="80">
        <v>460</v>
      </c>
      <c r="AG4" s="3">
        <v>0</v>
      </c>
      <c r="AH4" s="3">
        <v>0</v>
      </c>
      <c r="AI4" s="3">
        <v>0</v>
      </c>
      <c r="AJ4" s="3">
        <v>0</v>
      </c>
      <c r="AK4" s="80">
        <v>504</v>
      </c>
      <c r="AP4" s="80">
        <v>0</v>
      </c>
      <c r="AR4" s="84"/>
      <c r="AT4" s="87">
        <v>261</v>
      </c>
      <c r="AU4" s="80">
        <f t="shared" ref="AU4:AU20" si="0">SUM(AQ4:AT4)</f>
        <v>261</v>
      </c>
      <c r="AY4" s="3">
        <v>580</v>
      </c>
      <c r="AZ4" s="80">
        <f t="shared" ref="AZ4:AZ9" si="1">SUM(AV4:AY4)</f>
        <v>580</v>
      </c>
      <c r="BD4" s="129">
        <v>0</v>
      </c>
      <c r="BE4" s="80">
        <f t="shared" ref="BE4:BE8" si="2">SUM(BA4:BD4)</f>
        <v>0</v>
      </c>
      <c r="BH4" s="129">
        <v>740</v>
      </c>
      <c r="BI4" s="114">
        <f>'Shipment (Production)'!BG4</f>
        <v>0</v>
      </c>
      <c r="BJ4" s="80">
        <f t="shared" ref="BJ4:BJ8" si="3">SUM(BF4:BI4)</f>
        <v>740</v>
      </c>
      <c r="BK4" s="12">
        <f t="shared" ref="BK4:BK8" si="4">G4+L4+Q4+V4+AA4+AF4+AK4+AP4+AU4+AZ4+BE4+BJ4</f>
        <v>3565</v>
      </c>
      <c r="BL4" s="84"/>
      <c r="BN4" s="3">
        <f>'Shipment (Production)'!BL4</f>
        <v>0</v>
      </c>
      <c r="BO4" s="3">
        <f>'Shipment (Production)'!BM4</f>
        <v>0</v>
      </c>
      <c r="BP4" s="80">
        <f t="shared" ref="BP4:BP6" si="5">SUM(BL4:BO4)</f>
        <v>0</v>
      </c>
      <c r="BQ4" s="3">
        <f>'Shipment (Production)'!BN4</f>
        <v>0</v>
      </c>
      <c r="BR4" s="3">
        <f>'Shipment (Production)'!BO4</f>
        <v>0</v>
      </c>
      <c r="BS4" s="3">
        <f>'Shipment (Production)'!BQ4</f>
        <v>0</v>
      </c>
      <c r="BT4" s="3">
        <f>'Shipment (Production)'!BR4</f>
        <v>0</v>
      </c>
      <c r="BU4" s="80">
        <f t="shared" ref="BU4:BU8" si="6">SUM(BQ4:BT4)</f>
        <v>0</v>
      </c>
      <c r="BV4" s="3">
        <f>'Shipment (Production)'!BS4</f>
        <v>0</v>
      </c>
      <c r="BW4" s="3">
        <f>'Shipment (Production)'!BT4</f>
        <v>200</v>
      </c>
      <c r="BX4" s="3">
        <f>'Shipment (Production)'!BV4</f>
        <v>0</v>
      </c>
      <c r="BY4" s="3">
        <f>'Shipment (Production)'!BW4</f>
        <v>0</v>
      </c>
      <c r="BZ4" s="80">
        <f t="shared" ref="BZ4:BZ8" si="7">SUM(BV4:BY4)</f>
        <v>200</v>
      </c>
      <c r="CA4" s="3">
        <f>'Shipment (Production)'!BX4</f>
        <v>0</v>
      </c>
      <c r="CB4" s="3">
        <f>'Shipment (Production)'!BY4</f>
        <v>380</v>
      </c>
      <c r="CC4" s="3">
        <f>'Shipment (Production)'!CA4</f>
        <v>0</v>
      </c>
      <c r="CD4" s="3">
        <f>'Shipment (Production)'!CB4</f>
        <v>0</v>
      </c>
      <c r="CE4" s="80">
        <f t="shared" ref="CE4:CE8" si="8">SUM(CA4:CD4)</f>
        <v>380</v>
      </c>
      <c r="CF4" s="3">
        <f>'Shipment (Production)'!CC4</f>
        <v>0</v>
      </c>
      <c r="CG4" s="3">
        <f>'Shipment (Production)'!CD4</f>
        <v>0</v>
      </c>
      <c r="CH4" s="3">
        <f>'Shipment (Production)'!CF4</f>
        <v>0</v>
      </c>
      <c r="CI4" s="3">
        <f>'Shipment (Production)'!CG4</f>
        <v>0</v>
      </c>
      <c r="CJ4" s="80">
        <f t="shared" ref="CJ4:CJ8" si="9">SUM(CF4:CI4)</f>
        <v>0</v>
      </c>
      <c r="CK4" s="3">
        <f>'Shipment (Production)'!CH4</f>
        <v>0</v>
      </c>
      <c r="CL4" s="3">
        <f>'Shipment (Production)'!CI4</f>
        <v>300</v>
      </c>
      <c r="CM4" s="3">
        <f>'Shipment (Production)'!CK4</f>
        <v>0</v>
      </c>
      <c r="CN4" s="3">
        <f>'Shipment (Production)'!CL4</f>
        <v>0</v>
      </c>
      <c r="CO4" s="80">
        <f t="shared" ref="CO4:CO8" si="10">SUM(CK4:CN4)</f>
        <v>300</v>
      </c>
      <c r="CP4" s="3">
        <f>'Shipment (Production)'!CM4</f>
        <v>0</v>
      </c>
      <c r="CQ4" s="3">
        <f>'Shipment (Production)'!CN4</f>
        <v>300</v>
      </c>
      <c r="CR4" s="3">
        <f>'Shipment (Production)'!CP4</f>
        <v>0</v>
      </c>
      <c r="CS4" s="3">
        <f>'Shipment (Production)'!CQ4</f>
        <v>0</v>
      </c>
      <c r="CT4" s="80">
        <f t="shared" ref="CT4:CT8" si="11">SUM(CP4:CS4)</f>
        <v>300</v>
      </c>
      <c r="CU4" s="3">
        <f>'Shipment (Production)'!CR4</f>
        <v>0</v>
      </c>
      <c r="CV4" s="3">
        <f>'Shipment (Production)'!CS4</f>
        <v>200</v>
      </c>
      <c r="CW4" s="3">
        <f>'Shipment (Production)'!CU4</f>
        <v>0</v>
      </c>
      <c r="CX4" s="3">
        <f>'Shipment (Production)'!CV4</f>
        <v>0</v>
      </c>
      <c r="CY4" s="80">
        <f t="shared" ref="CY4:CY8" si="12">SUM(CU4:CX4)</f>
        <v>200</v>
      </c>
      <c r="CZ4" s="3">
        <f>'Shipment (Production)'!CW4</f>
        <v>0</v>
      </c>
      <c r="DA4" s="3">
        <f>'Shipment (Production)'!CX4</f>
        <v>300</v>
      </c>
      <c r="DB4" s="3">
        <f>'Shipment (Production)'!CZ4</f>
        <v>0</v>
      </c>
      <c r="DC4" s="3">
        <f>'Shipment (Production)'!DA4</f>
        <v>0</v>
      </c>
      <c r="DD4" s="80">
        <f t="shared" ref="DD4:DD8" si="13">SUM(CZ4:DC4)</f>
        <v>300</v>
      </c>
      <c r="DE4" s="3">
        <f>'Shipment (Production)'!DB4</f>
        <v>0</v>
      </c>
      <c r="DF4" s="3">
        <f>'Shipment (Production)'!DC4</f>
        <v>300</v>
      </c>
      <c r="DG4" s="3">
        <f>'Shipment (Production)'!DE4</f>
        <v>0</v>
      </c>
      <c r="DH4" s="3">
        <f>'Shipment (Production)'!DF4</f>
        <v>0</v>
      </c>
      <c r="DI4" s="80">
        <f t="shared" ref="DI4:DI8" si="14">SUM(DE4:DH4)</f>
        <v>300</v>
      </c>
      <c r="DJ4" s="3">
        <f>'Shipment (Production)'!DG4</f>
        <v>0</v>
      </c>
      <c r="DK4" s="3">
        <f>'Shipment (Production)'!DH4</f>
        <v>250</v>
      </c>
      <c r="DL4" s="3">
        <f>'Shipment (Production)'!DJ4</f>
        <v>0</v>
      </c>
      <c r="DM4" s="3">
        <f>'Shipment (Production)'!DK4</f>
        <v>0</v>
      </c>
      <c r="DN4" s="80">
        <f t="shared" ref="DN4:DN8" si="15">SUM(DJ4:DM4)</f>
        <v>250</v>
      </c>
      <c r="DO4" s="3">
        <f>'Shipment (Production)'!DL4</f>
        <v>0</v>
      </c>
      <c r="DP4" s="3">
        <f>'Shipment (Production)'!DM4</f>
        <v>250</v>
      </c>
      <c r="DQ4" s="3">
        <f>'Shipment (Production)'!DO4</f>
        <v>0</v>
      </c>
      <c r="DR4" s="3">
        <f>'Shipment (Production)'!DP4</f>
        <v>0</v>
      </c>
      <c r="DS4" s="80">
        <f t="shared" ref="DS4:DS8" si="16">SUM(DO4:DR4)</f>
        <v>250</v>
      </c>
      <c r="DT4" s="12">
        <f t="shared" ref="DT4:DT8" si="17">BP4+BU4+BZ4+CE4+CJ4+CO4+CT4+CY4+DD4+DI4+DN4+DS4</f>
        <v>2480</v>
      </c>
      <c r="DU4" s="3">
        <f>'Shipment (Production)'!DQ4</f>
        <v>0</v>
      </c>
      <c r="DV4" s="3">
        <f>'Shipment (Production)'!DR4</f>
        <v>0</v>
      </c>
      <c r="DW4" s="3">
        <f>'Shipment (Production)'!DU4</f>
        <v>250</v>
      </c>
      <c r="DX4" s="3">
        <f>'Shipment (Production)'!DV4</f>
        <v>0</v>
      </c>
      <c r="DY4" s="80">
        <f>SUM(DU4:DX4)</f>
        <v>250</v>
      </c>
      <c r="DZ4" s="3">
        <f>'Shipment (Production)'!DV4</f>
        <v>0</v>
      </c>
      <c r="EA4" s="3">
        <f>'Shipment (Production)'!DW4</f>
        <v>0</v>
      </c>
      <c r="EB4" s="3">
        <f>'Shipment (Production)'!DZ4</f>
        <v>230</v>
      </c>
      <c r="EC4" s="3">
        <f>'Shipment (Production)'!EA4</f>
        <v>0</v>
      </c>
      <c r="ED4" s="80">
        <f>SUM(DZ4:EC4)</f>
        <v>230</v>
      </c>
      <c r="EE4" s="3">
        <f>'Shipment (Production)'!EA4</f>
        <v>0</v>
      </c>
      <c r="EF4" s="3">
        <f>'Shipment (Production)'!EB4</f>
        <v>0</v>
      </c>
      <c r="EG4" s="3">
        <f>'Shipment (Production)'!EE4</f>
        <v>244.8</v>
      </c>
      <c r="EH4" s="3">
        <f>'Shipment (Production)'!EF4</f>
        <v>0</v>
      </c>
      <c r="EI4" s="80">
        <f>SUM(EE4:EH4)</f>
        <v>244.8</v>
      </c>
      <c r="EJ4" s="3">
        <f>'Shipment (Production)'!EF4</f>
        <v>0</v>
      </c>
      <c r="EK4" s="3">
        <f>'Shipment (Production)'!EG4</f>
        <v>0</v>
      </c>
      <c r="EL4" s="3">
        <f>'Shipment (Production)'!EJ4</f>
        <v>285.60000000000002</v>
      </c>
      <c r="EM4" s="3">
        <f>'Shipment (Production)'!EK4</f>
        <v>0</v>
      </c>
      <c r="EN4" s="80">
        <f>SUM(EJ4:EM4)</f>
        <v>285.60000000000002</v>
      </c>
      <c r="EO4" s="3">
        <f>'Shipment (Production)'!EK4</f>
        <v>0</v>
      </c>
      <c r="EP4" s="3">
        <f>'Shipment (Production)'!EL4</f>
        <v>0</v>
      </c>
      <c r="EQ4" s="3">
        <f>'Shipment (Production)'!EO4</f>
        <v>306</v>
      </c>
      <c r="ER4" s="3">
        <f>'Shipment (Production)'!EP4</f>
        <v>0</v>
      </c>
      <c r="ES4" s="80">
        <f>SUM(EO4:ER4)</f>
        <v>306</v>
      </c>
      <c r="ET4" s="3">
        <f>'Shipment (Production)'!EP4</f>
        <v>0</v>
      </c>
      <c r="EU4" s="3">
        <f>'Shipment (Production)'!EQ4</f>
        <v>0</v>
      </c>
      <c r="EV4" s="3">
        <f>'Shipment (Production)'!ET4</f>
        <v>306</v>
      </c>
      <c r="EW4" s="3">
        <f>'Shipment (Production)'!EU4</f>
        <v>0</v>
      </c>
      <c r="EX4" s="80">
        <f>SUM(ET4:EW4)</f>
        <v>306</v>
      </c>
      <c r="EY4" s="3">
        <f>'Shipment (Production)'!EU4</f>
        <v>0</v>
      </c>
      <c r="EZ4" s="3">
        <f>'Shipment (Production)'!EV4</f>
        <v>0</v>
      </c>
      <c r="FA4" s="3">
        <f>'Shipment (Production)'!EY4</f>
        <v>306</v>
      </c>
      <c r="FB4" s="3">
        <f>'Shipment (Production)'!EZ4</f>
        <v>0</v>
      </c>
      <c r="FC4" s="80">
        <f>SUM(EY4:FB4)</f>
        <v>306</v>
      </c>
      <c r="FD4" s="3">
        <f>'Shipment (Production)'!EZ4</f>
        <v>0</v>
      </c>
      <c r="FE4" s="3">
        <f>'Shipment (Production)'!FA4</f>
        <v>0</v>
      </c>
      <c r="FF4" s="3">
        <f>'Shipment (Production)'!FD4</f>
        <v>306</v>
      </c>
      <c r="FG4" s="3">
        <f>'Shipment (Production)'!FE4</f>
        <v>0</v>
      </c>
      <c r="FH4" s="80">
        <f>SUM(FD4:FG4)</f>
        <v>306</v>
      </c>
      <c r="FI4" s="3">
        <f>'Shipment (Production)'!FE4</f>
        <v>0</v>
      </c>
      <c r="FJ4" s="3">
        <f>'Shipment (Production)'!FF4</f>
        <v>0</v>
      </c>
      <c r="FK4" s="3">
        <f>'Shipment (Production)'!FI4</f>
        <v>255</v>
      </c>
      <c r="FL4" s="3">
        <f>'Shipment (Production)'!FJ4</f>
        <v>0</v>
      </c>
      <c r="FM4" s="80">
        <f>SUM(FI4:FL4)</f>
        <v>255</v>
      </c>
      <c r="FN4" s="3">
        <f>'Shipment (Production)'!FJ4</f>
        <v>0</v>
      </c>
      <c r="FO4" s="3">
        <f>'Shipment (Production)'!FK4</f>
        <v>0</v>
      </c>
      <c r="FP4" s="3">
        <f>'Shipment (Production)'!FN4</f>
        <v>255</v>
      </c>
      <c r="FQ4" s="3">
        <f>'Shipment (Production)'!FO4</f>
        <v>0</v>
      </c>
      <c r="FR4" s="80">
        <f>SUM(FN4:FQ4)</f>
        <v>255</v>
      </c>
      <c r="FS4" s="3">
        <f>'Shipment (Production)'!FO4</f>
        <v>0</v>
      </c>
      <c r="FT4" s="3">
        <f>'Shipment (Production)'!FP4</f>
        <v>0</v>
      </c>
      <c r="FU4" s="3">
        <f>'Shipment (Production)'!FS4</f>
        <v>255</v>
      </c>
      <c r="FV4" s="3">
        <f>'Shipment (Production)'!FT4</f>
        <v>0</v>
      </c>
      <c r="FW4" s="80">
        <f>SUM(FS4:FV4)</f>
        <v>255</v>
      </c>
      <c r="FX4" s="3">
        <f>'Shipment (Production)'!FT4</f>
        <v>0</v>
      </c>
      <c r="FY4" s="3">
        <f>'Shipment (Production)'!FU4</f>
        <v>0</v>
      </c>
      <c r="FZ4" s="3">
        <f>'Shipment (Production)'!FX4</f>
        <v>255</v>
      </c>
      <c r="GA4" s="3">
        <f>'Shipment (Production)'!FY4</f>
        <v>0</v>
      </c>
      <c r="GB4" s="80">
        <f>SUM(FX4:GA4)</f>
        <v>255</v>
      </c>
      <c r="GC4" s="12">
        <f>ED4+EI4+EN4+ES4+EX4+FC4+FH4+FM4+FR4+FW4+GB4</f>
        <v>3004.4</v>
      </c>
    </row>
    <row r="5" spans="1:185" s="3" customFormat="1" x14ac:dyDescent="0.35">
      <c r="A5" s="3" t="s">
        <v>4</v>
      </c>
      <c r="B5" s="1" t="s">
        <v>6</v>
      </c>
      <c r="G5" s="80">
        <v>699</v>
      </c>
      <c r="H5" s="3">
        <v>0</v>
      </c>
      <c r="I5" s="3">
        <v>0</v>
      </c>
      <c r="J5" s="3">
        <v>0</v>
      </c>
      <c r="K5" s="3">
        <v>0</v>
      </c>
      <c r="L5" s="80">
        <v>1000</v>
      </c>
      <c r="M5" s="3">
        <v>0</v>
      </c>
      <c r="N5" s="3">
        <v>0</v>
      </c>
      <c r="O5" s="3">
        <v>0</v>
      </c>
      <c r="P5" s="3">
        <v>0</v>
      </c>
      <c r="Q5" s="80">
        <v>1000</v>
      </c>
      <c r="R5" s="3">
        <v>0</v>
      </c>
      <c r="S5" s="3">
        <v>0</v>
      </c>
      <c r="T5" s="3">
        <v>0</v>
      </c>
      <c r="U5" s="3">
        <v>0</v>
      </c>
      <c r="V5" s="80">
        <v>0</v>
      </c>
      <c r="W5" s="3">
        <v>0</v>
      </c>
      <c r="X5" s="3">
        <v>0</v>
      </c>
      <c r="Y5" s="3">
        <v>0</v>
      </c>
      <c r="Z5" s="3">
        <v>0</v>
      </c>
      <c r="AA5" s="80">
        <v>0</v>
      </c>
      <c r="AB5" s="3">
        <v>0</v>
      </c>
      <c r="AC5" s="3">
        <v>0</v>
      </c>
      <c r="AD5" s="3">
        <v>0</v>
      </c>
      <c r="AE5" s="3">
        <v>0</v>
      </c>
      <c r="AF5" s="80">
        <v>518</v>
      </c>
      <c r="AG5" s="3">
        <v>0</v>
      </c>
      <c r="AH5" s="3">
        <v>0</v>
      </c>
      <c r="AI5" s="3">
        <v>0</v>
      </c>
      <c r="AJ5" s="3">
        <v>0</v>
      </c>
      <c r="AK5" s="80">
        <v>953</v>
      </c>
      <c r="AP5" s="80">
        <v>0</v>
      </c>
      <c r="AR5" s="84"/>
      <c r="AT5" s="88">
        <v>1600</v>
      </c>
      <c r="AU5" s="80">
        <f t="shared" si="0"/>
        <v>1600</v>
      </c>
      <c r="AY5" s="3">
        <v>680</v>
      </c>
      <c r="AZ5" s="80">
        <f t="shared" si="1"/>
        <v>680</v>
      </c>
      <c r="BD5" s="129">
        <v>0</v>
      </c>
      <c r="BE5" s="80">
        <f t="shared" si="2"/>
        <v>0</v>
      </c>
      <c r="BH5" s="130">
        <v>2782</v>
      </c>
      <c r="BI5" s="114">
        <f>'Shipment (Production)'!BG5</f>
        <v>0</v>
      </c>
      <c r="BJ5" s="80">
        <f t="shared" si="3"/>
        <v>2782</v>
      </c>
      <c r="BK5" s="12">
        <f t="shared" si="4"/>
        <v>9232</v>
      </c>
      <c r="BL5" s="84"/>
      <c r="BN5" s="3">
        <f>'Shipment (Production)'!BL5</f>
        <v>0</v>
      </c>
      <c r="BO5" s="3">
        <f>'Shipment (Production)'!BM5</f>
        <v>0</v>
      </c>
      <c r="BP5" s="80">
        <f t="shared" si="5"/>
        <v>0</v>
      </c>
      <c r="BQ5" s="3">
        <f>'Shipment (Production)'!BN5</f>
        <v>0</v>
      </c>
      <c r="BR5" s="3">
        <f>'Shipment (Production)'!BO5</f>
        <v>0</v>
      </c>
      <c r="BS5" s="3">
        <f>'Shipment (Production)'!BQ5</f>
        <v>0</v>
      </c>
      <c r="BT5" s="3">
        <f>'Shipment (Production)'!BR5</f>
        <v>0</v>
      </c>
      <c r="BU5" s="80">
        <f t="shared" si="6"/>
        <v>0</v>
      </c>
      <c r="BV5" s="3">
        <f>'Shipment (Production)'!BS5</f>
        <v>0</v>
      </c>
      <c r="BW5" s="3">
        <f>'Shipment (Production)'!BT5</f>
        <v>0</v>
      </c>
      <c r="BX5" s="3">
        <f>'Shipment (Production)'!BV5</f>
        <v>0</v>
      </c>
      <c r="BY5" s="3">
        <f>'Shipment (Production)'!BW5</f>
        <v>0</v>
      </c>
      <c r="BZ5" s="80">
        <f t="shared" si="7"/>
        <v>0</v>
      </c>
      <c r="CA5" s="3">
        <f>'Shipment (Production)'!BX5</f>
        <v>0</v>
      </c>
      <c r="CB5" s="3">
        <f>'Shipment (Production)'!BY5</f>
        <v>800</v>
      </c>
      <c r="CC5" s="3">
        <f>'Shipment (Production)'!CA5</f>
        <v>0</v>
      </c>
      <c r="CD5" s="3">
        <f>'Shipment (Production)'!CB5</f>
        <v>0</v>
      </c>
      <c r="CE5" s="80">
        <f t="shared" si="8"/>
        <v>800</v>
      </c>
      <c r="CF5" s="3">
        <f>'Shipment (Production)'!CC5</f>
        <v>0</v>
      </c>
      <c r="CG5" s="3">
        <f>'Shipment (Production)'!CD5</f>
        <v>1000</v>
      </c>
      <c r="CH5" s="3">
        <f>'Shipment (Production)'!CF5</f>
        <v>0</v>
      </c>
      <c r="CI5" s="3">
        <f>'Shipment (Production)'!CG5</f>
        <v>0</v>
      </c>
      <c r="CJ5" s="80">
        <f t="shared" si="9"/>
        <v>1000</v>
      </c>
      <c r="CK5" s="3">
        <f>'Shipment (Production)'!CH5</f>
        <v>600</v>
      </c>
      <c r="CL5" s="3">
        <f>'Shipment (Production)'!CI5</f>
        <v>0</v>
      </c>
      <c r="CM5" s="3">
        <f>'Shipment (Production)'!CK5</f>
        <v>0</v>
      </c>
      <c r="CN5" s="3">
        <f>'Shipment (Production)'!CL5</f>
        <v>0</v>
      </c>
      <c r="CO5" s="80">
        <f t="shared" si="10"/>
        <v>600</v>
      </c>
      <c r="CP5" s="3">
        <f>'Shipment (Production)'!CM5</f>
        <v>400</v>
      </c>
      <c r="CQ5" s="3">
        <f>'Shipment (Production)'!CN5</f>
        <v>0</v>
      </c>
      <c r="CR5" s="3">
        <f>'Shipment (Production)'!CP5</f>
        <v>0</v>
      </c>
      <c r="CS5" s="3">
        <f>'Shipment (Production)'!CQ5</f>
        <v>0</v>
      </c>
      <c r="CT5" s="80">
        <f t="shared" si="11"/>
        <v>400</v>
      </c>
      <c r="CU5" s="3">
        <f>'Shipment (Production)'!CR5</f>
        <v>0</v>
      </c>
      <c r="CV5" s="3">
        <f>'Shipment (Production)'!CS5</f>
        <v>0</v>
      </c>
      <c r="CW5" s="3">
        <f>'Shipment (Production)'!CU5</f>
        <v>0</v>
      </c>
      <c r="CX5" s="3">
        <f>'Shipment (Production)'!CV5</f>
        <v>0</v>
      </c>
      <c r="CY5" s="80">
        <f t="shared" si="12"/>
        <v>0</v>
      </c>
      <c r="CZ5" s="3">
        <f>'Shipment (Production)'!CW5</f>
        <v>0</v>
      </c>
      <c r="DA5" s="3">
        <f>'Shipment (Production)'!CX5</f>
        <v>0</v>
      </c>
      <c r="DB5" s="3">
        <f>'Shipment (Production)'!CZ5</f>
        <v>0</v>
      </c>
      <c r="DC5" s="3">
        <f>'Shipment (Production)'!DA5</f>
        <v>0</v>
      </c>
      <c r="DD5" s="80">
        <f t="shared" si="13"/>
        <v>0</v>
      </c>
      <c r="DE5" s="3">
        <f>'Shipment (Production)'!DB5</f>
        <v>0</v>
      </c>
      <c r="DF5" s="3">
        <f>'Shipment (Production)'!DC5</f>
        <v>0</v>
      </c>
      <c r="DG5" s="3">
        <f>'Shipment (Production)'!DE5</f>
        <v>0</v>
      </c>
      <c r="DH5" s="3">
        <f>'Shipment (Production)'!DF5</f>
        <v>0</v>
      </c>
      <c r="DI5" s="80">
        <f t="shared" si="14"/>
        <v>0</v>
      </c>
      <c r="DJ5" s="3">
        <f>'Shipment (Production)'!DG5</f>
        <v>0</v>
      </c>
      <c r="DK5" s="3">
        <f>'Shipment (Production)'!DH5</f>
        <v>0</v>
      </c>
      <c r="DL5" s="3">
        <f>'Shipment (Production)'!DJ5</f>
        <v>0</v>
      </c>
      <c r="DM5" s="3">
        <f>'Shipment (Production)'!DK5</f>
        <v>0</v>
      </c>
      <c r="DN5" s="80">
        <f t="shared" si="15"/>
        <v>0</v>
      </c>
      <c r="DO5" s="3">
        <f>'Shipment (Production)'!DL5</f>
        <v>0</v>
      </c>
      <c r="DP5" s="3">
        <f>'Shipment (Production)'!DM5</f>
        <v>0</v>
      </c>
      <c r="DQ5" s="3">
        <f>'Shipment (Production)'!DO5</f>
        <v>0</v>
      </c>
      <c r="DR5" s="3">
        <f>'Shipment (Production)'!DP5</f>
        <v>0</v>
      </c>
      <c r="DS5" s="80">
        <f t="shared" si="16"/>
        <v>0</v>
      </c>
      <c r="DT5" s="12">
        <f t="shared" si="17"/>
        <v>2800</v>
      </c>
      <c r="DU5" s="3">
        <f>'Shipment (Production)'!DQ5</f>
        <v>0</v>
      </c>
      <c r="DV5" s="3">
        <f>'Shipment (Production)'!DR5</f>
        <v>0</v>
      </c>
      <c r="DW5" s="3">
        <f>'Shipment (Production)'!DU5</f>
        <v>800</v>
      </c>
      <c r="DX5" s="3">
        <f>'Shipment (Production)'!DV5</f>
        <v>0</v>
      </c>
      <c r="DY5" s="80">
        <f t="shared" ref="DY5:DY24" si="18">SUM(DU5:DX5)</f>
        <v>800</v>
      </c>
      <c r="DZ5" s="3">
        <f>'Shipment (Production)'!DV5</f>
        <v>0</v>
      </c>
      <c r="EA5" s="3">
        <f>'Shipment (Production)'!DW5</f>
        <v>0</v>
      </c>
      <c r="EB5" s="3">
        <f>'Shipment (Production)'!DZ5</f>
        <v>800</v>
      </c>
      <c r="EC5" s="3">
        <f>'Shipment (Production)'!EA5</f>
        <v>0</v>
      </c>
      <c r="ED5" s="80">
        <f t="shared" ref="ED5:ED24" si="19">SUM(DZ5:EC5)</f>
        <v>800</v>
      </c>
      <c r="EE5" s="3">
        <f>'Shipment (Production)'!EA5</f>
        <v>0</v>
      </c>
      <c r="EF5" s="3">
        <f>'Shipment (Production)'!EB5</f>
        <v>0</v>
      </c>
      <c r="EG5" s="3">
        <f>'Shipment (Production)'!EE5</f>
        <v>816</v>
      </c>
      <c r="EH5" s="3">
        <f>'Shipment (Production)'!EF5</f>
        <v>0</v>
      </c>
      <c r="EI5" s="80">
        <f t="shared" ref="EI5:EI24" si="20">SUM(EE5:EH5)</f>
        <v>816</v>
      </c>
      <c r="EJ5" s="3">
        <f>'Shipment (Production)'!EF5</f>
        <v>0</v>
      </c>
      <c r="EK5" s="3">
        <f>'Shipment (Production)'!EG5</f>
        <v>0</v>
      </c>
      <c r="EL5" s="3">
        <f>'Shipment (Production)'!EJ5</f>
        <v>918</v>
      </c>
      <c r="EM5" s="3">
        <f>'Shipment (Production)'!EK5</f>
        <v>0</v>
      </c>
      <c r="EN5" s="80">
        <f t="shared" ref="EN5:EN24" si="21">SUM(EJ5:EM5)</f>
        <v>918</v>
      </c>
      <c r="EO5" s="3">
        <f>'Shipment (Production)'!EK5</f>
        <v>0</v>
      </c>
      <c r="EP5" s="3">
        <f>'Shipment (Production)'!EL5</f>
        <v>0</v>
      </c>
      <c r="EQ5" s="3">
        <f>'Shipment (Production)'!EO5</f>
        <v>918</v>
      </c>
      <c r="ER5" s="3">
        <f>'Shipment (Production)'!EP5</f>
        <v>0</v>
      </c>
      <c r="ES5" s="80">
        <f t="shared" ref="ES5:ES24" si="22">SUM(EO5:ER5)</f>
        <v>918</v>
      </c>
      <c r="ET5" s="3">
        <f>'Shipment (Production)'!EP5</f>
        <v>0</v>
      </c>
      <c r="EU5" s="3">
        <f>'Shipment (Production)'!EQ5</f>
        <v>0</v>
      </c>
      <c r="EV5" s="3">
        <f>'Shipment (Production)'!ET5</f>
        <v>918</v>
      </c>
      <c r="EW5" s="3">
        <f>'Shipment (Production)'!EU5</f>
        <v>0</v>
      </c>
      <c r="EX5" s="80">
        <f t="shared" ref="EX5:EX24" si="23">SUM(ET5:EW5)</f>
        <v>918</v>
      </c>
      <c r="EY5" s="3">
        <f>'Shipment (Production)'!EU5</f>
        <v>0</v>
      </c>
      <c r="EZ5" s="3">
        <f>'Shipment (Production)'!EV5</f>
        <v>0</v>
      </c>
      <c r="FA5" s="3">
        <f>'Shipment (Production)'!EY5</f>
        <v>918</v>
      </c>
      <c r="FB5" s="3">
        <f>'Shipment (Production)'!EZ5</f>
        <v>0</v>
      </c>
      <c r="FC5" s="80">
        <f t="shared" ref="FC5:FC24" si="24">SUM(EY5:FB5)</f>
        <v>918</v>
      </c>
      <c r="FD5" s="3">
        <f>'Shipment (Production)'!EZ5</f>
        <v>0</v>
      </c>
      <c r="FE5" s="3">
        <f>'Shipment (Production)'!FA5</f>
        <v>0</v>
      </c>
      <c r="FF5" s="3">
        <f>'Shipment (Production)'!FD5</f>
        <v>918</v>
      </c>
      <c r="FG5" s="3">
        <f>'Shipment (Production)'!FE5</f>
        <v>0</v>
      </c>
      <c r="FH5" s="80">
        <f t="shared" ref="FH5:FH24" si="25">SUM(FD5:FG5)</f>
        <v>918</v>
      </c>
      <c r="FI5" s="3">
        <f>'Shipment (Production)'!FE5</f>
        <v>0</v>
      </c>
      <c r="FJ5" s="3">
        <f>'Shipment (Production)'!FF5</f>
        <v>0</v>
      </c>
      <c r="FK5" s="3">
        <f>'Shipment (Production)'!FI5</f>
        <v>714</v>
      </c>
      <c r="FL5" s="3">
        <f>'Shipment (Production)'!FJ5</f>
        <v>0</v>
      </c>
      <c r="FM5" s="80">
        <f t="shared" ref="FM5:FM24" si="26">SUM(FI5:FL5)</f>
        <v>714</v>
      </c>
      <c r="FN5" s="3">
        <f>'Shipment (Production)'!FJ5</f>
        <v>0</v>
      </c>
      <c r="FO5" s="3">
        <f>'Shipment (Production)'!FK5</f>
        <v>0</v>
      </c>
      <c r="FP5" s="3">
        <f>'Shipment (Production)'!FN5</f>
        <v>714</v>
      </c>
      <c r="FQ5" s="3">
        <f>'Shipment (Production)'!FO5</f>
        <v>0</v>
      </c>
      <c r="FR5" s="80">
        <f t="shared" ref="FR5:FR24" si="27">SUM(FN5:FQ5)</f>
        <v>714</v>
      </c>
      <c r="FS5" s="3">
        <f>'Shipment (Production)'!FO5</f>
        <v>0</v>
      </c>
      <c r="FT5" s="3">
        <f>'Shipment (Production)'!FP5</f>
        <v>0</v>
      </c>
      <c r="FU5" s="3">
        <f>'Shipment (Production)'!FS5</f>
        <v>714</v>
      </c>
      <c r="FV5" s="3">
        <f>'Shipment (Production)'!FT5</f>
        <v>0</v>
      </c>
      <c r="FW5" s="80">
        <f t="shared" ref="FW5:FW24" si="28">SUM(FS5:FV5)</f>
        <v>714</v>
      </c>
      <c r="FX5" s="3">
        <f>'Shipment (Production)'!FT5</f>
        <v>0</v>
      </c>
      <c r="FY5" s="3">
        <f>'Shipment (Production)'!FU5</f>
        <v>0</v>
      </c>
      <c r="FZ5" s="3">
        <f>'Shipment (Production)'!FX5</f>
        <v>714</v>
      </c>
      <c r="GA5" s="3">
        <f>'Shipment (Production)'!FY5</f>
        <v>0</v>
      </c>
      <c r="GB5" s="80">
        <f t="shared" ref="GB5:GB24" si="29">SUM(FX5:GA5)</f>
        <v>714</v>
      </c>
      <c r="GC5" s="12">
        <f>ED5+EI5+EN5+ES5+EX5+FC5+FH5+FM5+FR5+FW5+GB5+DY5</f>
        <v>9862</v>
      </c>
    </row>
    <row r="6" spans="1:185" s="3" customFormat="1" x14ac:dyDescent="0.35">
      <c r="A6" s="3" t="s">
        <v>4</v>
      </c>
      <c r="B6" s="1" t="s">
        <v>7</v>
      </c>
      <c r="G6" s="80">
        <v>74</v>
      </c>
      <c r="H6" s="3">
        <v>0</v>
      </c>
      <c r="I6" s="3">
        <v>0</v>
      </c>
      <c r="J6" s="3">
        <v>0</v>
      </c>
      <c r="K6" s="3">
        <v>0</v>
      </c>
      <c r="L6" s="80">
        <v>900</v>
      </c>
      <c r="M6" s="3">
        <v>0</v>
      </c>
      <c r="N6" s="3">
        <v>0</v>
      </c>
      <c r="O6" s="3">
        <v>0</v>
      </c>
      <c r="P6" s="3">
        <v>0</v>
      </c>
      <c r="Q6" s="80">
        <v>670</v>
      </c>
      <c r="R6" s="3">
        <v>0</v>
      </c>
      <c r="S6" s="3">
        <v>0</v>
      </c>
      <c r="T6" s="3">
        <v>0</v>
      </c>
      <c r="U6" s="3">
        <v>0</v>
      </c>
      <c r="V6" s="80">
        <v>0</v>
      </c>
      <c r="W6" s="3">
        <v>0</v>
      </c>
      <c r="X6" s="3">
        <v>0</v>
      </c>
      <c r="Y6" s="3">
        <v>0</v>
      </c>
      <c r="Z6" s="3">
        <v>0</v>
      </c>
      <c r="AA6" s="80">
        <v>0</v>
      </c>
      <c r="AB6" s="3">
        <v>0</v>
      </c>
      <c r="AC6" s="3">
        <v>0</v>
      </c>
      <c r="AD6" s="3">
        <v>0</v>
      </c>
      <c r="AE6" s="3">
        <v>0</v>
      </c>
      <c r="AF6" s="80">
        <v>0</v>
      </c>
      <c r="AG6" s="3">
        <v>0</v>
      </c>
      <c r="AH6" s="3">
        <v>0</v>
      </c>
      <c r="AI6" s="3">
        <v>0</v>
      </c>
      <c r="AJ6" s="3">
        <v>0</v>
      </c>
      <c r="AK6" s="80">
        <v>601</v>
      </c>
      <c r="AP6" s="80">
        <v>0</v>
      </c>
      <c r="AT6" s="87">
        <v>348</v>
      </c>
      <c r="AU6" s="80">
        <f t="shared" si="0"/>
        <v>348</v>
      </c>
      <c r="AY6" s="3">
        <v>1010</v>
      </c>
      <c r="AZ6" s="80">
        <f t="shared" si="1"/>
        <v>1010</v>
      </c>
      <c r="BD6" s="129">
        <v>0</v>
      </c>
      <c r="BE6" s="80">
        <f t="shared" si="2"/>
        <v>0</v>
      </c>
      <c r="BF6" s="128"/>
      <c r="BH6" s="129">
        <v>795</v>
      </c>
      <c r="BI6" s="114">
        <f>'Shipment (Production)'!BG6</f>
        <v>0</v>
      </c>
      <c r="BJ6" s="80">
        <f t="shared" si="3"/>
        <v>795</v>
      </c>
      <c r="BK6" s="12">
        <f t="shared" si="4"/>
        <v>4398</v>
      </c>
      <c r="BL6" s="84"/>
      <c r="BN6" s="3">
        <f>'Shipment (Production)'!BL6</f>
        <v>0</v>
      </c>
      <c r="BO6" s="3">
        <f>'Shipment (Production)'!BM6</f>
        <v>0</v>
      </c>
      <c r="BP6" s="80">
        <f t="shared" si="5"/>
        <v>0</v>
      </c>
      <c r="BQ6" s="3">
        <f>'Shipment (Production)'!BN6</f>
        <v>0</v>
      </c>
      <c r="BR6" s="3">
        <f>'Shipment (Production)'!BO6</f>
        <v>200</v>
      </c>
      <c r="BS6" s="3">
        <f>'Shipment (Production)'!BQ6</f>
        <v>0</v>
      </c>
      <c r="BT6" s="3">
        <f>'Shipment (Production)'!BR6</f>
        <v>0</v>
      </c>
      <c r="BU6" s="80">
        <f t="shared" si="6"/>
        <v>200</v>
      </c>
      <c r="BV6" s="3">
        <f>'Shipment (Production)'!BS6</f>
        <v>0</v>
      </c>
      <c r="BW6" s="3">
        <f>'Shipment (Production)'!BT6</f>
        <v>400</v>
      </c>
      <c r="BX6" s="3">
        <f>'Shipment (Production)'!BV6</f>
        <v>0</v>
      </c>
      <c r="BY6" s="3">
        <f>'Shipment (Production)'!BW6</f>
        <v>0</v>
      </c>
      <c r="BZ6" s="80">
        <f t="shared" si="7"/>
        <v>400</v>
      </c>
      <c r="CA6" s="3">
        <f>'Shipment (Production)'!BX6</f>
        <v>0</v>
      </c>
      <c r="CB6" s="3">
        <f>'Shipment (Production)'!BY6</f>
        <v>400</v>
      </c>
      <c r="CC6" s="3">
        <f>'Shipment (Production)'!CA6</f>
        <v>0</v>
      </c>
      <c r="CD6" s="3">
        <f>'Shipment (Production)'!CB6</f>
        <v>0</v>
      </c>
      <c r="CE6" s="80">
        <f t="shared" si="8"/>
        <v>400</v>
      </c>
      <c r="CF6" s="3">
        <f>'Shipment (Production)'!CC6</f>
        <v>0</v>
      </c>
      <c r="CG6" s="3">
        <f>'Shipment (Production)'!CD6</f>
        <v>600</v>
      </c>
      <c r="CH6" s="3">
        <f>'Shipment (Production)'!CF6</f>
        <v>0</v>
      </c>
      <c r="CI6" s="3">
        <f>'Shipment (Production)'!CG6</f>
        <v>0</v>
      </c>
      <c r="CJ6" s="80">
        <f t="shared" si="9"/>
        <v>600</v>
      </c>
      <c r="CK6" s="3">
        <f>'Shipment (Production)'!CH6</f>
        <v>0</v>
      </c>
      <c r="CL6" s="3">
        <f>'Shipment (Production)'!CI6</f>
        <v>600</v>
      </c>
      <c r="CM6" s="3">
        <f>'Shipment (Production)'!CK6</f>
        <v>0</v>
      </c>
      <c r="CN6" s="3">
        <f>'Shipment (Production)'!CL6</f>
        <v>0</v>
      </c>
      <c r="CO6" s="80">
        <f t="shared" si="10"/>
        <v>600</v>
      </c>
      <c r="CP6" s="3">
        <f>'Shipment (Production)'!CM6</f>
        <v>0</v>
      </c>
      <c r="CQ6" s="3">
        <f>'Shipment (Production)'!CN6</f>
        <v>766</v>
      </c>
      <c r="CR6" s="3">
        <f>'Shipment (Production)'!CP6</f>
        <v>0</v>
      </c>
      <c r="CS6" s="3">
        <f>'Shipment (Production)'!CQ6</f>
        <v>0</v>
      </c>
      <c r="CT6" s="80">
        <f t="shared" si="11"/>
        <v>766</v>
      </c>
      <c r="CU6" s="3">
        <f>'Shipment (Production)'!CR6</f>
        <v>0</v>
      </c>
      <c r="CV6" s="3">
        <f>'Shipment (Production)'!CS6</f>
        <v>0</v>
      </c>
      <c r="CW6" s="3">
        <f>'Shipment (Production)'!CU6</f>
        <v>0</v>
      </c>
      <c r="CX6" s="3">
        <f>'Shipment (Production)'!CV6</f>
        <v>0</v>
      </c>
      <c r="CY6" s="80">
        <f t="shared" si="12"/>
        <v>0</v>
      </c>
      <c r="CZ6" s="3">
        <f>'Shipment (Production)'!CW6</f>
        <v>400</v>
      </c>
      <c r="DA6" s="3">
        <f>'Shipment (Production)'!CX6</f>
        <v>0</v>
      </c>
      <c r="DB6" s="3">
        <f>'Shipment (Production)'!CZ6</f>
        <v>0</v>
      </c>
      <c r="DC6" s="3">
        <f>'Shipment (Production)'!DA6</f>
        <v>0</v>
      </c>
      <c r="DD6" s="80">
        <f t="shared" si="13"/>
        <v>400</v>
      </c>
      <c r="DE6" s="3">
        <f>'Shipment (Production)'!DB6</f>
        <v>300</v>
      </c>
      <c r="DF6" s="3">
        <f>'Shipment (Production)'!DC6</f>
        <v>0</v>
      </c>
      <c r="DG6" s="3">
        <f>'Shipment (Production)'!DE6</f>
        <v>0</v>
      </c>
      <c r="DH6" s="3">
        <f>'Shipment (Production)'!DF6</f>
        <v>0</v>
      </c>
      <c r="DI6" s="80">
        <f t="shared" si="14"/>
        <v>300</v>
      </c>
      <c r="DJ6" s="3">
        <f>'Shipment (Production)'!DG6</f>
        <v>0</v>
      </c>
      <c r="DK6" s="3">
        <f>'Shipment (Production)'!DH6</f>
        <v>300</v>
      </c>
      <c r="DL6" s="3">
        <f>'Shipment (Production)'!DJ6</f>
        <v>0</v>
      </c>
      <c r="DM6" s="3">
        <f>'Shipment (Production)'!DK6</f>
        <v>0</v>
      </c>
      <c r="DN6" s="80">
        <f t="shared" si="15"/>
        <v>300</v>
      </c>
      <c r="DO6" s="3">
        <f>'Shipment (Production)'!DL6</f>
        <v>0</v>
      </c>
      <c r="DP6" s="3">
        <f>'Shipment (Production)'!DM6</f>
        <v>500</v>
      </c>
      <c r="DQ6" s="3">
        <f>'Shipment (Production)'!DO6</f>
        <v>0</v>
      </c>
      <c r="DR6" s="3">
        <f>'Shipment (Production)'!DP6</f>
        <v>0</v>
      </c>
      <c r="DS6" s="80">
        <f t="shared" si="16"/>
        <v>500</v>
      </c>
      <c r="DT6" s="12">
        <f t="shared" si="17"/>
        <v>4466</v>
      </c>
      <c r="DU6" s="3">
        <f>'Shipment (Production)'!DQ6</f>
        <v>0</v>
      </c>
      <c r="DV6" s="3">
        <f>'Shipment (Production)'!DR6</f>
        <v>0</v>
      </c>
      <c r="DW6" s="3">
        <f>'Shipment (Production)'!DU6</f>
        <v>400</v>
      </c>
      <c r="DX6" s="3">
        <f>'Shipment (Production)'!DV6</f>
        <v>0</v>
      </c>
      <c r="DY6" s="80">
        <f t="shared" si="18"/>
        <v>400</v>
      </c>
      <c r="DZ6" s="3">
        <f>'Shipment (Production)'!DV6</f>
        <v>0</v>
      </c>
      <c r="EA6" s="3">
        <f>'Shipment (Production)'!DW6</f>
        <v>0</v>
      </c>
      <c r="EB6" s="3">
        <f>'Shipment (Production)'!DZ6</f>
        <v>400</v>
      </c>
      <c r="EC6" s="3">
        <f>'Shipment (Production)'!EA6</f>
        <v>0</v>
      </c>
      <c r="ED6" s="80">
        <f t="shared" si="19"/>
        <v>400</v>
      </c>
      <c r="EE6" s="3">
        <f>'Shipment (Production)'!EA6</f>
        <v>0</v>
      </c>
      <c r="EF6" s="3">
        <f>'Shipment (Production)'!EB6</f>
        <v>0</v>
      </c>
      <c r="EG6" s="3">
        <f>'Shipment (Production)'!EE6</f>
        <v>408</v>
      </c>
      <c r="EH6" s="3">
        <f>'Shipment (Production)'!EF6</f>
        <v>0</v>
      </c>
      <c r="EI6" s="80">
        <f t="shared" si="20"/>
        <v>408</v>
      </c>
      <c r="EJ6" s="3">
        <f>'Shipment (Production)'!EF6</f>
        <v>0</v>
      </c>
      <c r="EK6" s="3">
        <f>'Shipment (Production)'!EG6</f>
        <v>0</v>
      </c>
      <c r="EL6" s="3">
        <f>'Shipment (Production)'!EJ6</f>
        <v>510</v>
      </c>
      <c r="EM6" s="3">
        <f>'Shipment (Production)'!EK6</f>
        <v>0</v>
      </c>
      <c r="EN6" s="80">
        <f t="shared" si="21"/>
        <v>510</v>
      </c>
      <c r="EO6" s="3">
        <f>'Shipment (Production)'!EK6</f>
        <v>0</v>
      </c>
      <c r="EP6" s="3">
        <f>'Shipment (Production)'!EL6</f>
        <v>0</v>
      </c>
      <c r="EQ6" s="3">
        <f>'Shipment (Production)'!EO6</f>
        <v>612</v>
      </c>
      <c r="ER6" s="3">
        <f>'Shipment (Production)'!EP6</f>
        <v>0</v>
      </c>
      <c r="ES6" s="80">
        <f t="shared" si="22"/>
        <v>612</v>
      </c>
      <c r="ET6" s="3">
        <f>'Shipment (Production)'!EP6</f>
        <v>0</v>
      </c>
      <c r="EU6" s="3">
        <f>'Shipment (Production)'!EQ6</f>
        <v>0</v>
      </c>
      <c r="EV6" s="3">
        <f>'Shipment (Production)'!ET6</f>
        <v>612</v>
      </c>
      <c r="EW6" s="3">
        <f>'Shipment (Production)'!EU6</f>
        <v>0</v>
      </c>
      <c r="EX6" s="80">
        <f t="shared" si="23"/>
        <v>612</v>
      </c>
      <c r="EY6" s="3">
        <f>'Shipment (Production)'!EU6</f>
        <v>0</v>
      </c>
      <c r="EZ6" s="3">
        <f>'Shipment (Production)'!EV6</f>
        <v>0</v>
      </c>
      <c r="FA6" s="3">
        <f>'Shipment (Production)'!EY6</f>
        <v>612</v>
      </c>
      <c r="FB6" s="3">
        <f>'Shipment (Production)'!EZ6</f>
        <v>0</v>
      </c>
      <c r="FC6" s="80">
        <f t="shared" si="24"/>
        <v>612</v>
      </c>
      <c r="FD6" s="3">
        <f>'Shipment (Production)'!EZ6</f>
        <v>0</v>
      </c>
      <c r="FE6" s="3">
        <f>'Shipment (Production)'!FA6</f>
        <v>0</v>
      </c>
      <c r="FF6" s="3">
        <f>'Shipment (Production)'!FD6</f>
        <v>510</v>
      </c>
      <c r="FG6" s="3">
        <f>'Shipment (Production)'!FE6</f>
        <v>0</v>
      </c>
      <c r="FH6" s="80">
        <f t="shared" si="25"/>
        <v>510</v>
      </c>
      <c r="FI6" s="3">
        <f>'Shipment (Production)'!FE6</f>
        <v>0</v>
      </c>
      <c r="FJ6" s="3">
        <f>'Shipment (Production)'!FF6</f>
        <v>0</v>
      </c>
      <c r="FK6" s="3">
        <f>'Shipment (Production)'!FI6</f>
        <v>306</v>
      </c>
      <c r="FL6" s="3">
        <f>'Shipment (Production)'!FJ6</f>
        <v>0</v>
      </c>
      <c r="FM6" s="80">
        <f t="shared" si="26"/>
        <v>306</v>
      </c>
      <c r="FN6" s="3">
        <f>'Shipment (Production)'!FJ6</f>
        <v>0</v>
      </c>
      <c r="FO6" s="3">
        <f>'Shipment (Production)'!FK6</f>
        <v>0</v>
      </c>
      <c r="FP6" s="3">
        <f>'Shipment (Production)'!FN6</f>
        <v>306</v>
      </c>
      <c r="FQ6" s="3">
        <f>'Shipment (Production)'!FO6</f>
        <v>0</v>
      </c>
      <c r="FR6" s="80">
        <f t="shared" si="27"/>
        <v>306</v>
      </c>
      <c r="FS6" s="3">
        <f>'Shipment (Production)'!FO6</f>
        <v>0</v>
      </c>
      <c r="FT6" s="3">
        <f>'Shipment (Production)'!FP6</f>
        <v>0</v>
      </c>
      <c r="FU6" s="3">
        <f>'Shipment (Production)'!FS6</f>
        <v>306</v>
      </c>
      <c r="FV6" s="3">
        <f>'Shipment (Production)'!FT6</f>
        <v>0</v>
      </c>
      <c r="FW6" s="80">
        <f t="shared" si="28"/>
        <v>306</v>
      </c>
      <c r="FX6" s="3">
        <f>'Shipment (Production)'!FT6</f>
        <v>0</v>
      </c>
      <c r="FY6" s="3">
        <f>'Shipment (Production)'!FU6</f>
        <v>0</v>
      </c>
      <c r="FZ6" s="3">
        <f>'Shipment (Production)'!FX6</f>
        <v>306</v>
      </c>
      <c r="GA6" s="3">
        <f>'Shipment (Production)'!FY6</f>
        <v>0</v>
      </c>
      <c r="GB6" s="80">
        <f t="shared" si="29"/>
        <v>306</v>
      </c>
      <c r="GC6" s="12">
        <f t="shared" ref="GC6:GC24" si="30">ED6+EI6+EN6+ES6+EX6+FC6+FH6+FM6+FR6+FW6+GB6+DY6</f>
        <v>5288</v>
      </c>
    </row>
    <row r="7" spans="1:185" x14ac:dyDescent="0.35">
      <c r="A7" s="3" t="s">
        <v>4</v>
      </c>
      <c r="B7" s="1" t="s">
        <v>8</v>
      </c>
      <c r="G7" s="80">
        <v>749</v>
      </c>
      <c r="H7" s="3">
        <v>0</v>
      </c>
      <c r="I7" s="3">
        <v>0</v>
      </c>
      <c r="J7" s="3">
        <v>0</v>
      </c>
      <c r="K7" s="3">
        <v>0</v>
      </c>
      <c r="L7" s="80">
        <v>680</v>
      </c>
      <c r="M7" s="3">
        <v>0</v>
      </c>
      <c r="N7" s="3">
        <v>0</v>
      </c>
      <c r="O7" s="3">
        <v>0</v>
      </c>
      <c r="P7" s="3">
        <v>0</v>
      </c>
      <c r="Q7" s="80">
        <v>1000</v>
      </c>
      <c r="R7" s="3">
        <v>0</v>
      </c>
      <c r="S7" s="3">
        <v>0</v>
      </c>
      <c r="T7" s="3">
        <v>0</v>
      </c>
      <c r="U7" s="3">
        <v>0</v>
      </c>
      <c r="V7" s="80">
        <v>0</v>
      </c>
      <c r="W7" s="3">
        <v>0</v>
      </c>
      <c r="X7" s="3">
        <v>0</v>
      </c>
      <c r="Y7" s="3">
        <v>0</v>
      </c>
      <c r="Z7" s="3">
        <v>0</v>
      </c>
      <c r="AA7" s="80">
        <v>0</v>
      </c>
      <c r="AB7" s="3">
        <v>0</v>
      </c>
      <c r="AC7" s="3">
        <v>0</v>
      </c>
      <c r="AD7" s="3">
        <v>0</v>
      </c>
      <c r="AE7" s="3">
        <v>0</v>
      </c>
      <c r="AF7" s="80">
        <v>0</v>
      </c>
      <c r="AG7" s="3">
        <v>0</v>
      </c>
      <c r="AH7" s="3">
        <v>0</v>
      </c>
      <c r="AI7" s="3">
        <v>0</v>
      </c>
      <c r="AJ7" s="3">
        <v>0</v>
      </c>
      <c r="AK7" s="80">
        <v>1499</v>
      </c>
      <c r="AL7" s="3"/>
      <c r="AM7" s="3"/>
      <c r="AN7" s="3"/>
      <c r="AO7" s="3"/>
      <c r="AP7" s="80">
        <v>0</v>
      </c>
      <c r="AQ7" s="3"/>
      <c r="AR7" s="3"/>
      <c r="AS7" s="3"/>
      <c r="AT7" s="87">
        <v>0</v>
      </c>
      <c r="AU7" s="80">
        <f t="shared" si="0"/>
        <v>0</v>
      </c>
      <c r="AV7" s="3"/>
      <c r="AW7" s="3"/>
      <c r="AX7" s="3"/>
      <c r="AY7" s="3">
        <v>1349</v>
      </c>
      <c r="AZ7" s="80">
        <f t="shared" si="1"/>
        <v>1349</v>
      </c>
      <c r="BA7" s="3"/>
      <c r="BB7" s="3"/>
      <c r="BC7" s="3"/>
      <c r="BD7" s="129">
        <v>0</v>
      </c>
      <c r="BE7" s="80">
        <f t="shared" si="2"/>
        <v>0</v>
      </c>
      <c r="BF7" s="128"/>
      <c r="BG7" s="3"/>
      <c r="BH7" s="129">
        <v>1249</v>
      </c>
      <c r="BI7" s="114">
        <f>'Shipment (Production)'!BG7</f>
        <v>0</v>
      </c>
      <c r="BJ7" s="80">
        <f t="shared" si="3"/>
        <v>1249</v>
      </c>
      <c r="BK7" s="12">
        <f t="shared" si="4"/>
        <v>6526</v>
      </c>
      <c r="BL7" s="84"/>
      <c r="BM7" s="3"/>
      <c r="BN7" s="3">
        <f>'Shipment (Production)'!BL7</f>
        <v>0</v>
      </c>
      <c r="BO7" s="3">
        <f>'Shipment (Production)'!BM7</f>
        <v>0</v>
      </c>
      <c r="BP7" s="80">
        <f t="shared" ref="BP7" si="31">SUM(BL7:BO7)</f>
        <v>0</v>
      </c>
      <c r="BQ7" s="3">
        <f>'Shipment (Production)'!BN7</f>
        <v>0</v>
      </c>
      <c r="BR7" s="3">
        <f>'Shipment (Production)'!BO7</f>
        <v>114</v>
      </c>
      <c r="BS7" s="3">
        <f>'Shipment (Production)'!BQ7</f>
        <v>0</v>
      </c>
      <c r="BT7" s="3">
        <f>'Shipment (Production)'!BR7</f>
        <v>0</v>
      </c>
      <c r="BU7" s="80">
        <f t="shared" si="6"/>
        <v>114</v>
      </c>
      <c r="BV7" s="3">
        <f>'Shipment (Production)'!BS7</f>
        <v>0</v>
      </c>
      <c r="BW7" s="3">
        <f>'Shipment (Production)'!BT7</f>
        <v>550</v>
      </c>
      <c r="BX7" s="3">
        <f>'Shipment (Production)'!BV7</f>
        <v>0</v>
      </c>
      <c r="BY7" s="3">
        <f>'Shipment (Production)'!BW7</f>
        <v>0</v>
      </c>
      <c r="BZ7" s="80">
        <f t="shared" si="7"/>
        <v>550</v>
      </c>
      <c r="CA7" s="3">
        <f>'Shipment (Production)'!BX7</f>
        <v>0</v>
      </c>
      <c r="CB7" s="3">
        <f>'Shipment (Production)'!BY7</f>
        <v>400</v>
      </c>
      <c r="CC7" s="3">
        <f>'Shipment (Production)'!CA7</f>
        <v>0</v>
      </c>
      <c r="CD7" s="3">
        <f>'Shipment (Production)'!CB7</f>
        <v>0</v>
      </c>
      <c r="CE7" s="80">
        <f t="shared" si="8"/>
        <v>400</v>
      </c>
      <c r="CF7" s="3">
        <f>'Shipment (Production)'!CC7</f>
        <v>0</v>
      </c>
      <c r="CG7" s="3">
        <f>'Shipment (Production)'!CD7</f>
        <v>650</v>
      </c>
      <c r="CH7" s="3">
        <f>'Shipment (Production)'!CF7</f>
        <v>0</v>
      </c>
      <c r="CI7" s="3">
        <f>'Shipment (Production)'!CG7</f>
        <v>0</v>
      </c>
      <c r="CJ7" s="80">
        <f t="shared" si="9"/>
        <v>650</v>
      </c>
      <c r="CK7" s="3">
        <f>'Shipment (Production)'!CH7</f>
        <v>0</v>
      </c>
      <c r="CL7" s="3">
        <f>'Shipment (Production)'!CI7</f>
        <v>550</v>
      </c>
      <c r="CM7" s="3">
        <f>'Shipment (Production)'!CK7</f>
        <v>0</v>
      </c>
      <c r="CN7" s="3">
        <f>'Shipment (Production)'!CL7</f>
        <v>0</v>
      </c>
      <c r="CO7" s="80">
        <f t="shared" si="10"/>
        <v>550</v>
      </c>
      <c r="CP7" s="3">
        <f>'Shipment (Production)'!CM7</f>
        <v>0</v>
      </c>
      <c r="CQ7" s="3">
        <f>'Shipment (Production)'!CN7</f>
        <v>300</v>
      </c>
      <c r="CR7" s="3">
        <f>'Shipment (Production)'!CP7</f>
        <v>0</v>
      </c>
      <c r="CS7" s="3">
        <f>'Shipment (Production)'!CQ7</f>
        <v>0</v>
      </c>
      <c r="CT7" s="80">
        <f t="shared" si="11"/>
        <v>300</v>
      </c>
      <c r="CU7" s="3">
        <f>'Shipment (Production)'!CR7</f>
        <v>0</v>
      </c>
      <c r="CV7" s="3">
        <f>'Shipment (Production)'!CS7</f>
        <v>0</v>
      </c>
      <c r="CW7" s="3">
        <f>'Shipment (Production)'!CU7</f>
        <v>0</v>
      </c>
      <c r="CX7" s="3">
        <f>'Shipment (Production)'!CV7</f>
        <v>0</v>
      </c>
      <c r="CY7" s="80">
        <f t="shared" si="12"/>
        <v>0</v>
      </c>
      <c r="CZ7" s="3">
        <f>'Shipment (Production)'!CW7</f>
        <v>0</v>
      </c>
      <c r="DA7" s="3">
        <f>'Shipment (Production)'!CX7</f>
        <v>0</v>
      </c>
      <c r="DB7" s="3">
        <f>'Shipment (Production)'!CZ7</f>
        <v>0</v>
      </c>
      <c r="DC7" s="3">
        <f>'Shipment (Production)'!DA7</f>
        <v>0</v>
      </c>
      <c r="DD7" s="80">
        <f t="shared" si="13"/>
        <v>0</v>
      </c>
      <c r="DE7" s="3">
        <f>'Shipment (Production)'!DB7</f>
        <v>0</v>
      </c>
      <c r="DF7" s="3">
        <f>'Shipment (Production)'!DC7</f>
        <v>0</v>
      </c>
      <c r="DG7" s="3">
        <f>'Shipment (Production)'!DE7</f>
        <v>0</v>
      </c>
      <c r="DH7" s="3">
        <f>'Shipment (Production)'!DF7</f>
        <v>0</v>
      </c>
      <c r="DI7" s="80">
        <f t="shared" si="14"/>
        <v>0</v>
      </c>
      <c r="DJ7" s="3">
        <f>'Shipment (Production)'!DG7</f>
        <v>0</v>
      </c>
      <c r="DK7" s="3">
        <f>'Shipment (Production)'!DH7</f>
        <v>350</v>
      </c>
      <c r="DL7" s="3">
        <f>'Shipment (Production)'!DJ7</f>
        <v>0</v>
      </c>
      <c r="DM7" s="3">
        <f>'Shipment (Production)'!DK7</f>
        <v>0</v>
      </c>
      <c r="DN7" s="80">
        <f t="shared" si="15"/>
        <v>350</v>
      </c>
      <c r="DO7" s="3">
        <f>'Shipment (Production)'!DL7</f>
        <v>0</v>
      </c>
      <c r="DP7" s="3">
        <f>'Shipment (Production)'!DM7</f>
        <v>300</v>
      </c>
      <c r="DQ7" s="3">
        <f>'Shipment (Production)'!DO7</f>
        <v>0</v>
      </c>
      <c r="DR7" s="3">
        <f>'Shipment (Production)'!DP7</f>
        <v>200</v>
      </c>
      <c r="DS7" s="80">
        <f t="shared" si="16"/>
        <v>500</v>
      </c>
      <c r="DT7" s="12">
        <f t="shared" si="17"/>
        <v>3414</v>
      </c>
      <c r="DU7" s="3">
        <f>'Shipment (Production)'!DQ7</f>
        <v>0</v>
      </c>
      <c r="DV7" s="3">
        <f>'Shipment (Production)'!DR7</f>
        <v>0</v>
      </c>
      <c r="DW7" s="3">
        <f>'Shipment (Production)'!DU7</f>
        <v>550</v>
      </c>
      <c r="DX7" s="3">
        <f>'Shipment (Production)'!DV7</f>
        <v>0</v>
      </c>
      <c r="DY7" s="80">
        <f t="shared" si="18"/>
        <v>550</v>
      </c>
      <c r="DZ7" s="3">
        <f>'Shipment (Production)'!DV7</f>
        <v>0</v>
      </c>
      <c r="EA7" s="3">
        <f>'Shipment (Production)'!DW7</f>
        <v>0</v>
      </c>
      <c r="EB7" s="3">
        <f>'Shipment (Production)'!DZ7</f>
        <v>550</v>
      </c>
      <c r="EC7" s="3">
        <f>'Shipment (Production)'!EA7</f>
        <v>0</v>
      </c>
      <c r="ED7" s="80">
        <f t="shared" si="19"/>
        <v>550</v>
      </c>
      <c r="EE7" s="3">
        <f>'Shipment (Production)'!EA7</f>
        <v>0</v>
      </c>
      <c r="EF7" s="3">
        <f>'Shipment (Production)'!EB7</f>
        <v>0</v>
      </c>
      <c r="EG7" s="3">
        <f>'Shipment (Production)'!EE7</f>
        <v>561</v>
      </c>
      <c r="EH7" s="3">
        <f>'Shipment (Production)'!EF7</f>
        <v>0</v>
      </c>
      <c r="EI7" s="80">
        <f t="shared" si="20"/>
        <v>561</v>
      </c>
      <c r="EJ7" s="3">
        <f>'Shipment (Production)'!EF7</f>
        <v>0</v>
      </c>
      <c r="EK7" s="3">
        <f>'Shipment (Production)'!EG7</f>
        <v>0</v>
      </c>
      <c r="EL7" s="3">
        <f>'Shipment (Production)'!EJ7</f>
        <v>561</v>
      </c>
      <c r="EM7" s="3">
        <f>'Shipment (Production)'!EK7</f>
        <v>0</v>
      </c>
      <c r="EN7" s="80">
        <f t="shared" si="21"/>
        <v>561</v>
      </c>
      <c r="EO7" s="3">
        <f>'Shipment (Production)'!EK7</f>
        <v>0</v>
      </c>
      <c r="EP7" s="3">
        <f>'Shipment (Production)'!EL7</f>
        <v>0</v>
      </c>
      <c r="EQ7" s="3">
        <f>'Shipment (Production)'!EO7</f>
        <v>561</v>
      </c>
      <c r="ER7" s="3">
        <f>'Shipment (Production)'!EP7</f>
        <v>0</v>
      </c>
      <c r="ES7" s="80">
        <f t="shared" si="22"/>
        <v>561</v>
      </c>
      <c r="ET7" s="3">
        <f>'Shipment (Production)'!EP7</f>
        <v>0</v>
      </c>
      <c r="EU7" s="3">
        <f>'Shipment (Production)'!EQ7</f>
        <v>0</v>
      </c>
      <c r="EV7" s="3">
        <f>'Shipment (Production)'!ET7</f>
        <v>561</v>
      </c>
      <c r="EW7" s="3">
        <f>'Shipment (Production)'!EU7</f>
        <v>0</v>
      </c>
      <c r="EX7" s="80">
        <f t="shared" si="23"/>
        <v>561</v>
      </c>
      <c r="EY7" s="3">
        <f>'Shipment (Production)'!EU7</f>
        <v>0</v>
      </c>
      <c r="EZ7" s="3">
        <f>'Shipment (Production)'!EV7</f>
        <v>0</v>
      </c>
      <c r="FA7" s="3">
        <f>'Shipment (Production)'!EY7</f>
        <v>561</v>
      </c>
      <c r="FB7" s="3">
        <f>'Shipment (Production)'!EZ7</f>
        <v>0</v>
      </c>
      <c r="FC7" s="80">
        <f t="shared" si="24"/>
        <v>561</v>
      </c>
      <c r="FD7" s="3">
        <f>'Shipment (Production)'!EZ7</f>
        <v>0</v>
      </c>
      <c r="FE7" s="3">
        <f>'Shipment (Production)'!FA7</f>
        <v>0</v>
      </c>
      <c r="FF7" s="3">
        <f>'Shipment (Production)'!FD7</f>
        <v>561</v>
      </c>
      <c r="FG7" s="3">
        <f>'Shipment (Production)'!FE7</f>
        <v>0</v>
      </c>
      <c r="FH7" s="80">
        <f t="shared" si="25"/>
        <v>561</v>
      </c>
      <c r="FI7" s="3">
        <f>'Shipment (Production)'!FE7</f>
        <v>0</v>
      </c>
      <c r="FJ7" s="3">
        <f>'Shipment (Production)'!FF7</f>
        <v>0</v>
      </c>
      <c r="FK7" s="3">
        <f>'Shipment (Production)'!FI7</f>
        <v>510</v>
      </c>
      <c r="FL7" s="3">
        <f>'Shipment (Production)'!FJ7</f>
        <v>0</v>
      </c>
      <c r="FM7" s="80">
        <f t="shared" si="26"/>
        <v>510</v>
      </c>
      <c r="FN7" s="3">
        <f>'Shipment (Production)'!FJ7</f>
        <v>0</v>
      </c>
      <c r="FO7" s="3">
        <f>'Shipment (Production)'!FK7</f>
        <v>0</v>
      </c>
      <c r="FP7" s="3">
        <f>'Shipment (Production)'!FN7</f>
        <v>510</v>
      </c>
      <c r="FQ7" s="3">
        <f>'Shipment (Production)'!FO7</f>
        <v>0</v>
      </c>
      <c r="FR7" s="80">
        <f t="shared" si="27"/>
        <v>510</v>
      </c>
      <c r="FS7" s="3">
        <f>'Shipment (Production)'!FO7</f>
        <v>0</v>
      </c>
      <c r="FT7" s="3">
        <f>'Shipment (Production)'!FP7</f>
        <v>0</v>
      </c>
      <c r="FU7" s="3">
        <f>'Shipment (Production)'!FS7</f>
        <v>510</v>
      </c>
      <c r="FV7" s="3">
        <f>'Shipment (Production)'!FT7</f>
        <v>0</v>
      </c>
      <c r="FW7" s="80">
        <f t="shared" si="28"/>
        <v>510</v>
      </c>
      <c r="FX7" s="3">
        <f>'Shipment (Production)'!FT7</f>
        <v>0</v>
      </c>
      <c r="FY7" s="3">
        <f>'Shipment (Production)'!FU7</f>
        <v>0</v>
      </c>
      <c r="FZ7" s="3">
        <f>'Shipment (Production)'!FX7</f>
        <v>510</v>
      </c>
      <c r="GA7" s="3">
        <f>'Shipment (Production)'!FY7</f>
        <v>0</v>
      </c>
      <c r="GB7" s="80">
        <f t="shared" si="29"/>
        <v>510</v>
      </c>
      <c r="GC7" s="12">
        <f t="shared" si="30"/>
        <v>6506</v>
      </c>
    </row>
    <row r="8" spans="1:185" x14ac:dyDescent="0.35">
      <c r="A8" s="3" t="s">
        <v>4</v>
      </c>
      <c r="B8" s="1" t="s">
        <v>9</v>
      </c>
      <c r="G8" s="80">
        <v>550</v>
      </c>
      <c r="H8" s="3">
        <v>0</v>
      </c>
      <c r="I8" s="3">
        <v>0</v>
      </c>
      <c r="J8" s="3">
        <v>0</v>
      </c>
      <c r="K8" s="3">
        <v>0</v>
      </c>
      <c r="L8" s="80">
        <v>6264</v>
      </c>
      <c r="M8" s="3">
        <v>0</v>
      </c>
      <c r="N8" s="3">
        <v>0</v>
      </c>
      <c r="O8" s="3">
        <v>0</v>
      </c>
      <c r="P8" s="3">
        <v>0</v>
      </c>
      <c r="Q8" s="80">
        <v>4654</v>
      </c>
      <c r="R8" s="3">
        <v>0</v>
      </c>
      <c r="S8" s="3">
        <v>0</v>
      </c>
      <c r="T8" s="3">
        <v>0</v>
      </c>
      <c r="U8" s="3">
        <v>0</v>
      </c>
      <c r="V8" s="80">
        <v>5000</v>
      </c>
      <c r="W8" s="3">
        <v>0</v>
      </c>
      <c r="X8" s="3">
        <v>0</v>
      </c>
      <c r="Y8" s="3">
        <v>0</v>
      </c>
      <c r="Z8" s="3">
        <v>0</v>
      </c>
      <c r="AA8" s="80">
        <v>0</v>
      </c>
      <c r="AB8" s="3">
        <v>0</v>
      </c>
      <c r="AC8" s="3">
        <v>0</v>
      </c>
      <c r="AD8" s="3">
        <v>0</v>
      </c>
      <c r="AE8" s="3">
        <v>0</v>
      </c>
      <c r="AF8" s="80">
        <v>3000</v>
      </c>
      <c r="AG8" s="3">
        <v>0</v>
      </c>
      <c r="AH8" s="3">
        <v>0</v>
      </c>
      <c r="AI8" s="3">
        <v>0</v>
      </c>
      <c r="AJ8" s="3">
        <v>0</v>
      </c>
      <c r="AK8" s="80">
        <v>2000</v>
      </c>
      <c r="AL8" s="3"/>
      <c r="AM8" s="3"/>
      <c r="AN8" s="3"/>
      <c r="AO8" s="3"/>
      <c r="AP8" s="80">
        <v>4904</v>
      </c>
      <c r="AQ8" s="3"/>
      <c r="AR8" s="3"/>
      <c r="AS8" s="3"/>
      <c r="AT8" s="88">
        <v>1596</v>
      </c>
      <c r="AU8" s="80">
        <f t="shared" si="0"/>
        <v>1596</v>
      </c>
      <c r="AV8" s="3"/>
      <c r="AW8" s="3"/>
      <c r="AX8" s="3"/>
      <c r="AY8" s="3">
        <v>10000</v>
      </c>
      <c r="AZ8" s="80">
        <f t="shared" si="1"/>
        <v>10000</v>
      </c>
      <c r="BA8" s="3"/>
      <c r="BB8" s="3"/>
      <c r="BC8" s="3"/>
      <c r="BD8" s="130">
        <v>6002</v>
      </c>
      <c r="BE8" s="80">
        <f t="shared" si="2"/>
        <v>6002</v>
      </c>
      <c r="BF8" s="3"/>
      <c r="BG8" s="3"/>
      <c r="BH8" s="130">
        <v>2583</v>
      </c>
      <c r="BI8" s="114">
        <f>'Shipment (Production)'!BG8</f>
        <v>0</v>
      </c>
      <c r="BJ8" s="80">
        <f t="shared" si="3"/>
        <v>2583</v>
      </c>
      <c r="BK8" s="12">
        <f t="shared" si="4"/>
        <v>46553</v>
      </c>
      <c r="BL8" s="84"/>
      <c r="BM8" s="3"/>
      <c r="BN8" s="3">
        <f>'Shipment (Production)'!BL8</f>
        <v>0</v>
      </c>
      <c r="BO8" s="3">
        <v>3500</v>
      </c>
      <c r="BP8" s="80">
        <f t="shared" ref="BP8" si="32">SUM(BL8:BO8)</f>
        <v>3500</v>
      </c>
      <c r="BQ8" s="3"/>
      <c r="BR8" s="3"/>
      <c r="BS8" s="3">
        <f>'Shipment (Production)'!BQ8</f>
        <v>0</v>
      </c>
      <c r="BT8" s="3">
        <f>'Shipment (Production)'!BR8</f>
        <v>0</v>
      </c>
      <c r="BU8" s="80">
        <f t="shared" si="6"/>
        <v>0</v>
      </c>
      <c r="BV8" s="3">
        <f>'Shipment (Production)'!BS8</f>
        <v>4000</v>
      </c>
      <c r="BW8" s="3">
        <f>'Shipment (Production)'!BT8</f>
        <v>3182</v>
      </c>
      <c r="BX8" s="3">
        <f>'Shipment (Production)'!BV8</f>
        <v>0</v>
      </c>
      <c r="BY8" s="3">
        <f>'Shipment (Production)'!BW8</f>
        <v>0</v>
      </c>
      <c r="BZ8" s="80">
        <f t="shared" si="7"/>
        <v>7182</v>
      </c>
      <c r="CA8" s="3">
        <f>'Shipment (Production)'!BX8</f>
        <v>1818</v>
      </c>
      <c r="CB8" s="3">
        <f>'Shipment (Production)'!BY8</f>
        <v>1000</v>
      </c>
      <c r="CC8" s="3">
        <f>'Shipment (Production)'!CA8</f>
        <v>0</v>
      </c>
      <c r="CD8" s="3">
        <f>'Shipment (Production)'!CB8</f>
        <v>0</v>
      </c>
      <c r="CE8" s="80">
        <f t="shared" si="8"/>
        <v>2818</v>
      </c>
      <c r="CF8" s="3">
        <f>'Shipment (Production)'!CC8</f>
        <v>5000</v>
      </c>
      <c r="CG8" s="3">
        <f>'Shipment (Production)'!CD8</f>
        <v>700</v>
      </c>
      <c r="CH8" s="3">
        <f>'Shipment (Production)'!CF8</f>
        <v>0</v>
      </c>
      <c r="CI8" s="3">
        <f>'Shipment (Production)'!CG8</f>
        <v>0</v>
      </c>
      <c r="CJ8" s="80">
        <f t="shared" si="9"/>
        <v>5700</v>
      </c>
      <c r="CK8" s="3">
        <f>'Shipment (Production)'!CH8</f>
        <v>6500</v>
      </c>
      <c r="CL8" s="3">
        <f>'Shipment (Production)'!CI8</f>
        <v>0</v>
      </c>
      <c r="CM8" s="3">
        <f>'Shipment (Production)'!CK8</f>
        <v>0</v>
      </c>
      <c r="CN8" s="3">
        <f>'Shipment (Production)'!CL8</f>
        <v>0</v>
      </c>
      <c r="CO8" s="80">
        <f t="shared" si="10"/>
        <v>6500</v>
      </c>
      <c r="CP8" s="3">
        <f>'Shipment (Production)'!CM8</f>
        <v>5000</v>
      </c>
      <c r="CQ8" s="3">
        <f>'Shipment (Production)'!CN8</f>
        <v>0</v>
      </c>
      <c r="CR8" s="3">
        <f>'Shipment (Production)'!CP8</f>
        <v>0</v>
      </c>
      <c r="CS8" s="3">
        <f>'Shipment (Production)'!CQ8</f>
        <v>0</v>
      </c>
      <c r="CT8" s="80">
        <f t="shared" si="11"/>
        <v>5000</v>
      </c>
      <c r="CU8" s="3">
        <f>'Shipment (Production)'!CR8</f>
        <v>5000</v>
      </c>
      <c r="CV8" s="3">
        <f>'Shipment (Production)'!CS8</f>
        <v>0</v>
      </c>
      <c r="CW8" s="3">
        <f>'Shipment (Production)'!CU8</f>
        <v>0</v>
      </c>
      <c r="CX8" s="3">
        <f>'Shipment (Production)'!CV8</f>
        <v>0</v>
      </c>
      <c r="CY8" s="80">
        <f t="shared" si="12"/>
        <v>5000</v>
      </c>
      <c r="CZ8" s="3">
        <f>'Shipment (Production)'!CW8</f>
        <v>5000</v>
      </c>
      <c r="DA8" s="3">
        <f>'Shipment (Production)'!CX8</f>
        <v>0</v>
      </c>
      <c r="DB8" s="3">
        <f>'Shipment (Production)'!CZ8</f>
        <v>0</v>
      </c>
      <c r="DC8" s="3">
        <f>'Shipment (Production)'!DA8</f>
        <v>0</v>
      </c>
      <c r="DD8" s="80">
        <f t="shared" si="13"/>
        <v>5000</v>
      </c>
      <c r="DE8" s="3">
        <f>'Shipment (Production)'!DB8</f>
        <v>5000</v>
      </c>
      <c r="DF8" s="3">
        <f>'Shipment (Production)'!DC8</f>
        <v>0</v>
      </c>
      <c r="DG8" s="3">
        <f>'Shipment (Production)'!DE8</f>
        <v>0</v>
      </c>
      <c r="DH8" s="3">
        <f>'Shipment (Production)'!DF8</f>
        <v>0</v>
      </c>
      <c r="DI8" s="80">
        <f t="shared" si="14"/>
        <v>5000</v>
      </c>
      <c r="DJ8" s="3">
        <f>'Shipment (Production)'!DG8</f>
        <v>4500</v>
      </c>
      <c r="DK8" s="3">
        <f>'Shipment (Production)'!DH8</f>
        <v>0</v>
      </c>
      <c r="DL8" s="3">
        <f>'Shipment (Production)'!DJ8</f>
        <v>0</v>
      </c>
      <c r="DM8" s="3">
        <f>'Shipment (Production)'!DK8</f>
        <v>0</v>
      </c>
      <c r="DN8" s="80">
        <f t="shared" si="15"/>
        <v>4500</v>
      </c>
      <c r="DO8" s="3">
        <f>'Shipment (Production)'!DL8</f>
        <v>3500</v>
      </c>
      <c r="DP8" s="3">
        <f>'Shipment (Production)'!DM8</f>
        <v>0</v>
      </c>
      <c r="DQ8" s="3">
        <f>'Shipment (Production)'!DO8</f>
        <v>0</v>
      </c>
      <c r="DR8" s="3">
        <f>'Shipment (Production)'!DP8</f>
        <v>2500</v>
      </c>
      <c r="DS8" s="80">
        <f t="shared" si="16"/>
        <v>6000</v>
      </c>
      <c r="DT8" s="12">
        <f t="shared" si="17"/>
        <v>56200</v>
      </c>
      <c r="DU8" s="3">
        <f>'Shipment (Production)'!DQ8</f>
        <v>0</v>
      </c>
      <c r="DV8" s="3">
        <f>'Shipment (Production)'!DR8</f>
        <v>0</v>
      </c>
      <c r="DW8" s="3">
        <f>'Shipment (Production)'!DU8</f>
        <v>4000</v>
      </c>
      <c r="DX8" s="3">
        <f>'Shipment (Production)'!DV8</f>
        <v>0</v>
      </c>
      <c r="DY8" s="80">
        <f t="shared" si="18"/>
        <v>4000</v>
      </c>
      <c r="DZ8" s="3">
        <f>'Shipment (Production)'!DV8</f>
        <v>0</v>
      </c>
      <c r="EA8" s="3">
        <f>'Shipment (Production)'!DW8</f>
        <v>0</v>
      </c>
      <c r="EB8" s="3">
        <f>'Shipment (Production)'!DZ8</f>
        <v>4000</v>
      </c>
      <c r="EC8" s="3">
        <f>'Shipment (Production)'!EA8</f>
        <v>0</v>
      </c>
      <c r="ED8" s="80">
        <f t="shared" si="19"/>
        <v>4000</v>
      </c>
      <c r="EE8" s="3">
        <f>'Shipment (Production)'!EA8</f>
        <v>0</v>
      </c>
      <c r="EF8" s="3">
        <f>'Shipment (Production)'!EB8</f>
        <v>0</v>
      </c>
      <c r="EG8" s="3">
        <f>'Shipment (Production)'!EE8</f>
        <v>3570</v>
      </c>
      <c r="EH8" s="3">
        <f>'Shipment (Production)'!EF8</f>
        <v>0</v>
      </c>
      <c r="EI8" s="80">
        <f t="shared" si="20"/>
        <v>3570</v>
      </c>
      <c r="EJ8" s="3">
        <f>'Shipment (Production)'!EF8</f>
        <v>0</v>
      </c>
      <c r="EK8" s="3">
        <f>'Shipment (Production)'!EG8</f>
        <v>0</v>
      </c>
      <c r="EL8" s="3">
        <f>'Shipment (Production)'!EJ8</f>
        <v>4080</v>
      </c>
      <c r="EM8" s="3">
        <f>'Shipment (Production)'!EK8</f>
        <v>0</v>
      </c>
      <c r="EN8" s="80">
        <f t="shared" si="21"/>
        <v>4080</v>
      </c>
      <c r="EO8" s="3">
        <f>'Shipment (Production)'!EK8</f>
        <v>0</v>
      </c>
      <c r="EP8" s="3">
        <f>'Shipment (Production)'!EL8</f>
        <v>0</v>
      </c>
      <c r="EQ8" s="3">
        <f>'Shipment (Production)'!EO8</f>
        <v>4080</v>
      </c>
      <c r="ER8" s="3">
        <f>'Shipment (Production)'!EP8</f>
        <v>0</v>
      </c>
      <c r="ES8" s="80">
        <f t="shared" si="22"/>
        <v>4080</v>
      </c>
      <c r="ET8" s="3">
        <f>'Shipment (Production)'!EP8</f>
        <v>0</v>
      </c>
      <c r="EU8" s="3">
        <f>'Shipment (Production)'!EQ8</f>
        <v>0</v>
      </c>
      <c r="EV8" s="3">
        <f>'Shipment (Production)'!ET8</f>
        <v>4080</v>
      </c>
      <c r="EW8" s="3">
        <f>'Shipment (Production)'!EU8</f>
        <v>0</v>
      </c>
      <c r="EX8" s="80">
        <f t="shared" si="23"/>
        <v>4080</v>
      </c>
      <c r="EY8" s="3">
        <f>'Shipment (Production)'!EU8</f>
        <v>0</v>
      </c>
      <c r="EZ8" s="3">
        <f>'Shipment (Production)'!EV8</f>
        <v>0</v>
      </c>
      <c r="FA8" s="3">
        <f>'Shipment (Production)'!EY8</f>
        <v>4080</v>
      </c>
      <c r="FB8" s="3">
        <f>'Shipment (Production)'!EZ8</f>
        <v>0</v>
      </c>
      <c r="FC8" s="80">
        <f t="shared" si="24"/>
        <v>4080</v>
      </c>
      <c r="FD8" s="3">
        <f>'Shipment (Production)'!EZ8</f>
        <v>0</v>
      </c>
      <c r="FE8" s="3">
        <f>'Shipment (Production)'!FA8</f>
        <v>0</v>
      </c>
      <c r="FF8" s="3">
        <f>'Shipment (Production)'!FD8</f>
        <v>4080</v>
      </c>
      <c r="FG8" s="3">
        <f>'Shipment (Production)'!FE8</f>
        <v>0</v>
      </c>
      <c r="FH8" s="80">
        <f t="shared" si="25"/>
        <v>4080</v>
      </c>
      <c r="FI8" s="3">
        <f>'Shipment (Production)'!FE8</f>
        <v>0</v>
      </c>
      <c r="FJ8" s="3">
        <f>'Shipment (Production)'!FF8</f>
        <v>0</v>
      </c>
      <c r="FK8" s="3">
        <f>'Shipment (Production)'!FI8</f>
        <v>3060</v>
      </c>
      <c r="FL8" s="3">
        <f>'Shipment (Production)'!FJ8</f>
        <v>0</v>
      </c>
      <c r="FM8" s="80">
        <f t="shared" si="26"/>
        <v>3060</v>
      </c>
      <c r="FN8" s="3">
        <f>'Shipment (Production)'!FJ8</f>
        <v>0</v>
      </c>
      <c r="FO8" s="3">
        <f>'Shipment (Production)'!FK8</f>
        <v>0</v>
      </c>
      <c r="FP8" s="3">
        <f>'Shipment (Production)'!FN8</f>
        <v>3060</v>
      </c>
      <c r="FQ8" s="3">
        <f>'Shipment (Production)'!FO8</f>
        <v>0</v>
      </c>
      <c r="FR8" s="80">
        <f t="shared" si="27"/>
        <v>3060</v>
      </c>
      <c r="FS8" s="3">
        <f>'Shipment (Production)'!FO8</f>
        <v>0</v>
      </c>
      <c r="FT8" s="3">
        <f>'Shipment (Production)'!FP8</f>
        <v>0</v>
      </c>
      <c r="FU8" s="3">
        <f>'Shipment (Production)'!FS8</f>
        <v>3060</v>
      </c>
      <c r="FV8" s="3">
        <f>'Shipment (Production)'!FT8</f>
        <v>0</v>
      </c>
      <c r="FW8" s="80">
        <f t="shared" si="28"/>
        <v>3060</v>
      </c>
      <c r="FX8" s="3">
        <f>'Shipment (Production)'!FT8</f>
        <v>0</v>
      </c>
      <c r="FY8" s="3">
        <f>'Shipment (Production)'!FU8</f>
        <v>0</v>
      </c>
      <c r="FZ8" s="3">
        <f>'Shipment (Production)'!FX8</f>
        <v>3060</v>
      </c>
      <c r="GA8" s="3">
        <f>'Shipment (Production)'!FY8</f>
        <v>0</v>
      </c>
      <c r="GB8" s="80">
        <f t="shared" si="29"/>
        <v>3060</v>
      </c>
      <c r="GC8" s="12">
        <f t="shared" si="30"/>
        <v>44210</v>
      </c>
    </row>
    <row r="9" spans="1:185" x14ac:dyDescent="0.35">
      <c r="A9" s="1" t="s">
        <v>10</v>
      </c>
      <c r="B9" s="1" t="s">
        <v>11</v>
      </c>
      <c r="G9" s="80">
        <v>0</v>
      </c>
      <c r="H9" s="3">
        <v>0</v>
      </c>
      <c r="I9" s="3">
        <v>0</v>
      </c>
      <c r="J9" s="3">
        <v>0</v>
      </c>
      <c r="K9" s="3">
        <v>0</v>
      </c>
      <c r="L9" s="80">
        <v>0</v>
      </c>
      <c r="M9" s="3">
        <v>0</v>
      </c>
      <c r="N9" s="3">
        <v>0</v>
      </c>
      <c r="O9" s="3">
        <v>0</v>
      </c>
      <c r="P9" s="3">
        <v>0</v>
      </c>
      <c r="Q9" s="80">
        <v>500</v>
      </c>
      <c r="R9" s="3">
        <v>0</v>
      </c>
      <c r="S9" s="3">
        <v>0</v>
      </c>
      <c r="T9" s="3">
        <v>0</v>
      </c>
      <c r="U9" s="3">
        <v>0</v>
      </c>
      <c r="V9" s="80">
        <v>0</v>
      </c>
      <c r="W9" s="3">
        <v>0</v>
      </c>
      <c r="X9" s="3">
        <v>0</v>
      </c>
      <c r="Y9" s="3">
        <v>0</v>
      </c>
      <c r="Z9" s="3">
        <v>0</v>
      </c>
      <c r="AA9" s="80">
        <v>0</v>
      </c>
      <c r="AB9" s="3">
        <v>0</v>
      </c>
      <c r="AC9" s="3">
        <v>0</v>
      </c>
      <c r="AD9" s="3">
        <v>0</v>
      </c>
      <c r="AE9" s="3">
        <v>0</v>
      </c>
      <c r="AF9" s="80">
        <v>0</v>
      </c>
      <c r="AG9" s="3">
        <v>0</v>
      </c>
      <c r="AH9" s="3">
        <v>0</v>
      </c>
      <c r="AI9" s="3">
        <v>0</v>
      </c>
      <c r="AJ9" s="3">
        <v>0</v>
      </c>
      <c r="AK9" s="80">
        <v>406</v>
      </c>
      <c r="AL9" s="3"/>
      <c r="AM9" s="3"/>
      <c r="AN9" s="3"/>
      <c r="AO9" s="3"/>
      <c r="AP9" s="80">
        <v>0</v>
      </c>
      <c r="AQ9" s="3"/>
      <c r="AR9" s="3"/>
      <c r="AS9" s="3"/>
      <c r="AT9" s="87">
        <v>0</v>
      </c>
      <c r="AU9" s="80">
        <f t="shared" si="0"/>
        <v>0</v>
      </c>
      <c r="AV9" s="3"/>
      <c r="AW9" s="3"/>
      <c r="AX9" s="3"/>
      <c r="AY9" s="3">
        <v>173</v>
      </c>
      <c r="AZ9" s="80">
        <f t="shared" si="1"/>
        <v>173</v>
      </c>
      <c r="BA9" s="3"/>
      <c r="BB9" s="3"/>
      <c r="BC9" s="3"/>
      <c r="BD9" s="129">
        <v>0</v>
      </c>
      <c r="BE9" s="80">
        <f t="shared" ref="BE9" si="33">SUM(BA9:BD9)</f>
        <v>0</v>
      </c>
      <c r="BF9" s="128"/>
      <c r="BG9" s="3"/>
      <c r="BH9" s="129">
        <v>225</v>
      </c>
      <c r="BI9" s="114">
        <f>'Shipment (Production)'!BG9</f>
        <v>0</v>
      </c>
      <c r="BJ9" s="80">
        <f t="shared" ref="BJ9" si="34">SUM(BF9:BI9)</f>
        <v>225</v>
      </c>
      <c r="BK9" s="12">
        <f t="shared" ref="BK9:BK32" si="35">G9+L9+Q9+V9+AA9+AF9+AK9+AP9+AU9+AZ9+BE9+BJ9</f>
        <v>1304</v>
      </c>
      <c r="BL9" s="84"/>
      <c r="BM9" s="3"/>
      <c r="BN9" s="3">
        <f>'Shipment (Production)'!BL9</f>
        <v>0</v>
      </c>
      <c r="BO9" s="3">
        <f>'Shipment (Production)'!BM9</f>
        <v>0</v>
      </c>
      <c r="BP9" s="80">
        <f t="shared" ref="BP9" si="36">SUM(BL9:BO9)</f>
        <v>0</v>
      </c>
      <c r="BQ9" s="3">
        <f>'Shipment (Production)'!BN9</f>
        <v>0</v>
      </c>
      <c r="BR9" s="3">
        <f>'Shipment (Production)'!BO9</f>
        <v>288</v>
      </c>
      <c r="BS9" s="3">
        <f>'Shipment (Production)'!BQ9</f>
        <v>0</v>
      </c>
      <c r="BT9" s="3">
        <f>'Shipment (Production)'!BR9</f>
        <v>0</v>
      </c>
      <c r="BU9" s="80">
        <f t="shared" ref="BU9" si="37">SUM(BQ9:BT9)</f>
        <v>288</v>
      </c>
      <c r="BV9" s="3">
        <f>'Shipment (Production)'!BS9</f>
        <v>0</v>
      </c>
      <c r="BW9" s="3">
        <f>'Shipment (Production)'!BT9</f>
        <v>200</v>
      </c>
      <c r="BX9" s="3">
        <f>'Shipment (Production)'!BV9</f>
        <v>0</v>
      </c>
      <c r="BY9" s="3">
        <f>'Shipment (Production)'!BW9</f>
        <v>0</v>
      </c>
      <c r="BZ9" s="80">
        <f t="shared" ref="BZ9" si="38">SUM(BV9:BY9)</f>
        <v>200</v>
      </c>
      <c r="CA9" s="3">
        <f>'Shipment (Production)'!BX9</f>
        <v>0</v>
      </c>
      <c r="CB9" s="3">
        <f>'Shipment (Production)'!BY9</f>
        <v>150</v>
      </c>
      <c r="CC9" s="3">
        <f>'Shipment (Production)'!CA9</f>
        <v>0</v>
      </c>
      <c r="CD9" s="3">
        <f>'Shipment (Production)'!CB9</f>
        <v>0</v>
      </c>
      <c r="CE9" s="80">
        <f t="shared" ref="CE9" si="39">SUM(CA9:CD9)</f>
        <v>150</v>
      </c>
      <c r="CF9" s="3">
        <f>'Shipment (Production)'!CC9</f>
        <v>0</v>
      </c>
      <c r="CG9" s="3">
        <f>'Shipment (Production)'!CD9</f>
        <v>100</v>
      </c>
      <c r="CH9" s="3">
        <f>'Shipment (Production)'!CF9</f>
        <v>0</v>
      </c>
      <c r="CI9" s="3">
        <f>'Shipment (Production)'!CG9</f>
        <v>0</v>
      </c>
      <c r="CJ9" s="80">
        <f t="shared" ref="CJ9" si="40">SUM(CF9:CI9)</f>
        <v>100</v>
      </c>
      <c r="CK9" s="3">
        <f>'Shipment (Production)'!CH9</f>
        <v>0</v>
      </c>
      <c r="CL9" s="3">
        <f>'Shipment (Production)'!CI9</f>
        <v>175</v>
      </c>
      <c r="CM9" s="3">
        <f>'Shipment (Production)'!CK9</f>
        <v>0</v>
      </c>
      <c r="CN9" s="3">
        <f>'Shipment (Production)'!CL9</f>
        <v>0</v>
      </c>
      <c r="CO9" s="80">
        <f t="shared" ref="CO9" si="41">SUM(CK9:CN9)</f>
        <v>175</v>
      </c>
      <c r="CP9" s="3">
        <f>'Shipment (Production)'!CM9</f>
        <v>0</v>
      </c>
      <c r="CQ9" s="3">
        <f>'Shipment (Production)'!CN9</f>
        <v>250</v>
      </c>
      <c r="CR9" s="3">
        <f>'Shipment (Production)'!CP9</f>
        <v>0</v>
      </c>
      <c r="CS9" s="3">
        <f>'Shipment (Production)'!CQ9</f>
        <v>0</v>
      </c>
      <c r="CT9" s="80">
        <f t="shared" ref="CT9" si="42">SUM(CP9:CS9)</f>
        <v>250</v>
      </c>
      <c r="CU9" s="3">
        <f>'Shipment (Production)'!CR9</f>
        <v>0</v>
      </c>
      <c r="CV9" s="3">
        <f>'Shipment (Production)'!CS9</f>
        <v>0</v>
      </c>
      <c r="CW9" s="3">
        <f>'Shipment (Production)'!CU9</f>
        <v>0</v>
      </c>
      <c r="CX9" s="3">
        <f>'Shipment (Production)'!CV9</f>
        <v>0</v>
      </c>
      <c r="CY9" s="80">
        <f t="shared" ref="CY9" si="43">SUM(CU9:CX9)</f>
        <v>0</v>
      </c>
      <c r="CZ9" s="3">
        <f>'Shipment (Production)'!CW9</f>
        <v>0</v>
      </c>
      <c r="DA9" s="3">
        <f>'Shipment (Production)'!CX9</f>
        <v>0</v>
      </c>
      <c r="DB9" s="3">
        <f>'Shipment (Production)'!CZ9</f>
        <v>0</v>
      </c>
      <c r="DC9" s="3">
        <f>'Shipment (Production)'!DA9</f>
        <v>0</v>
      </c>
      <c r="DD9" s="80">
        <f t="shared" ref="DD9" si="44">SUM(CZ9:DC9)</f>
        <v>0</v>
      </c>
      <c r="DE9" s="3">
        <f>'Shipment (Production)'!DB9</f>
        <v>0</v>
      </c>
      <c r="DF9" s="3">
        <f>'Shipment (Production)'!DC9</f>
        <v>100</v>
      </c>
      <c r="DG9" s="3">
        <f>'Shipment (Production)'!DE9</f>
        <v>0</v>
      </c>
      <c r="DH9" s="3">
        <f>'Shipment (Production)'!DF9</f>
        <v>0</v>
      </c>
      <c r="DI9" s="80">
        <f t="shared" ref="DI9" si="45">SUM(DE9:DH9)</f>
        <v>100</v>
      </c>
      <c r="DJ9" s="3">
        <f>'Shipment (Production)'!DG9</f>
        <v>0</v>
      </c>
      <c r="DK9" s="3">
        <f>'Shipment (Production)'!DH9</f>
        <v>100</v>
      </c>
      <c r="DL9" s="3">
        <f>'Shipment (Production)'!DJ9</f>
        <v>0</v>
      </c>
      <c r="DM9" s="3">
        <f>'Shipment (Production)'!DK9</f>
        <v>0</v>
      </c>
      <c r="DN9" s="80">
        <f t="shared" ref="DN9" si="46">SUM(DJ9:DM9)</f>
        <v>100</v>
      </c>
      <c r="DO9" s="3">
        <f>'Shipment (Production)'!DL9</f>
        <v>0</v>
      </c>
      <c r="DP9" s="3">
        <f>'Shipment (Production)'!DM9</f>
        <v>125</v>
      </c>
      <c r="DQ9" s="3">
        <f>'Shipment (Production)'!DO9</f>
        <v>0</v>
      </c>
      <c r="DR9" s="3">
        <f>'Shipment (Production)'!DP9</f>
        <v>0</v>
      </c>
      <c r="DS9" s="80">
        <f t="shared" ref="DS9" si="47">SUM(DO9:DR9)</f>
        <v>125</v>
      </c>
      <c r="DT9" s="12">
        <f t="shared" ref="DT9:DT24" si="48">BP9+BU9+BZ9+CE9+CJ9+CO9+CT9+CY9+DD9+DI9+DN9+DS9</f>
        <v>1488</v>
      </c>
      <c r="DU9" s="3">
        <f>'Shipment (Production)'!DQ9</f>
        <v>0</v>
      </c>
      <c r="DV9" s="3">
        <f>'Shipment (Production)'!DR9</f>
        <v>0</v>
      </c>
      <c r="DW9" s="3">
        <f>'Shipment (Production)'!DU9</f>
        <v>125</v>
      </c>
      <c r="DX9" s="3">
        <f>'Shipment (Production)'!DV9</f>
        <v>0</v>
      </c>
      <c r="DY9" s="80">
        <f t="shared" si="18"/>
        <v>125</v>
      </c>
      <c r="DZ9" s="3">
        <f>'Shipment (Production)'!DV9</f>
        <v>0</v>
      </c>
      <c r="EA9" s="3">
        <f>'Shipment (Production)'!DW9</f>
        <v>0</v>
      </c>
      <c r="EB9" s="3">
        <f>'Shipment (Production)'!DZ9</f>
        <v>140</v>
      </c>
      <c r="EC9" s="3">
        <f>'Shipment (Production)'!EA9</f>
        <v>0</v>
      </c>
      <c r="ED9" s="80">
        <f t="shared" si="19"/>
        <v>140</v>
      </c>
      <c r="EE9" s="3">
        <f>'Shipment (Production)'!EA9</f>
        <v>0</v>
      </c>
      <c r="EF9" s="3">
        <f>'Shipment (Production)'!EB9</f>
        <v>0</v>
      </c>
      <c r="EG9" s="3">
        <f>'Shipment (Production)'!EE9</f>
        <v>127.5</v>
      </c>
      <c r="EH9" s="3">
        <f>'Shipment (Production)'!EF9</f>
        <v>0</v>
      </c>
      <c r="EI9" s="80">
        <f t="shared" si="20"/>
        <v>127.5</v>
      </c>
      <c r="EJ9" s="3">
        <f>'Shipment (Production)'!EF9</f>
        <v>0</v>
      </c>
      <c r="EK9" s="3">
        <f>'Shipment (Production)'!EG9</f>
        <v>0</v>
      </c>
      <c r="EL9" s="3">
        <f>'Shipment (Production)'!EJ9</f>
        <v>153</v>
      </c>
      <c r="EM9" s="3">
        <f>'Shipment (Production)'!EK9</f>
        <v>0</v>
      </c>
      <c r="EN9" s="80">
        <f t="shared" si="21"/>
        <v>153</v>
      </c>
      <c r="EO9" s="3">
        <f>'Shipment (Production)'!EK9</f>
        <v>0</v>
      </c>
      <c r="EP9" s="3">
        <f>'Shipment (Production)'!EL9</f>
        <v>0</v>
      </c>
      <c r="EQ9" s="3">
        <f>'Shipment (Production)'!EO9</f>
        <v>153</v>
      </c>
      <c r="ER9" s="3">
        <f>'Shipment (Production)'!EP9</f>
        <v>0</v>
      </c>
      <c r="ES9" s="80">
        <f t="shared" si="22"/>
        <v>153</v>
      </c>
      <c r="ET9" s="3">
        <f>'Shipment (Production)'!EP9</f>
        <v>0</v>
      </c>
      <c r="EU9" s="3">
        <f>'Shipment (Production)'!EQ9</f>
        <v>0</v>
      </c>
      <c r="EV9" s="3">
        <f>'Shipment (Production)'!ET9</f>
        <v>153</v>
      </c>
      <c r="EW9" s="3">
        <f>'Shipment (Production)'!EU9</f>
        <v>0</v>
      </c>
      <c r="EX9" s="80">
        <f t="shared" si="23"/>
        <v>153</v>
      </c>
      <c r="EY9" s="3">
        <f>'Shipment (Production)'!EU9</f>
        <v>0</v>
      </c>
      <c r="EZ9" s="3">
        <f>'Shipment (Production)'!EV9</f>
        <v>0</v>
      </c>
      <c r="FA9" s="3">
        <f>'Shipment (Production)'!EY9</f>
        <v>204</v>
      </c>
      <c r="FB9" s="3">
        <f>'Shipment (Production)'!EZ9</f>
        <v>0</v>
      </c>
      <c r="FC9" s="80">
        <f t="shared" si="24"/>
        <v>204</v>
      </c>
      <c r="FD9" s="3">
        <f>'Shipment (Production)'!EZ9</f>
        <v>0</v>
      </c>
      <c r="FE9" s="3">
        <f>'Shipment (Production)'!FA9</f>
        <v>0</v>
      </c>
      <c r="FF9" s="3">
        <f>'Shipment (Production)'!FD9</f>
        <v>204</v>
      </c>
      <c r="FG9" s="3">
        <f>'Shipment (Production)'!FE9</f>
        <v>0</v>
      </c>
      <c r="FH9" s="80">
        <f t="shared" si="25"/>
        <v>204</v>
      </c>
      <c r="FI9" s="3">
        <f>'Shipment (Production)'!FE9</f>
        <v>0</v>
      </c>
      <c r="FJ9" s="3">
        <f>'Shipment (Production)'!FF9</f>
        <v>0</v>
      </c>
      <c r="FK9" s="3">
        <f>'Shipment (Production)'!FI9</f>
        <v>153</v>
      </c>
      <c r="FL9" s="3">
        <f>'Shipment (Production)'!FJ9</f>
        <v>0</v>
      </c>
      <c r="FM9" s="80">
        <f t="shared" si="26"/>
        <v>153</v>
      </c>
      <c r="FN9" s="3">
        <f>'Shipment (Production)'!FJ9</f>
        <v>0</v>
      </c>
      <c r="FO9" s="3">
        <f>'Shipment (Production)'!FK9</f>
        <v>0</v>
      </c>
      <c r="FP9" s="3">
        <f>'Shipment (Production)'!FN9</f>
        <v>127.5</v>
      </c>
      <c r="FQ9" s="3">
        <f>'Shipment (Production)'!FO9</f>
        <v>0</v>
      </c>
      <c r="FR9" s="80">
        <f t="shared" si="27"/>
        <v>127.5</v>
      </c>
      <c r="FS9" s="3">
        <f>'Shipment (Production)'!FO9</f>
        <v>0</v>
      </c>
      <c r="FT9" s="3">
        <f>'Shipment (Production)'!FP9</f>
        <v>0</v>
      </c>
      <c r="FU9" s="3">
        <f>'Shipment (Production)'!FS9</f>
        <v>127.5</v>
      </c>
      <c r="FV9" s="3">
        <f>'Shipment (Production)'!FT9</f>
        <v>0</v>
      </c>
      <c r="FW9" s="80">
        <f t="shared" si="28"/>
        <v>127.5</v>
      </c>
      <c r="FX9" s="3">
        <f>'Shipment (Production)'!FT9</f>
        <v>0</v>
      </c>
      <c r="FY9" s="3">
        <f>'Shipment (Production)'!FU9</f>
        <v>0</v>
      </c>
      <c r="FZ9" s="3">
        <f>'Shipment (Production)'!FX9</f>
        <v>127.5</v>
      </c>
      <c r="GA9" s="3">
        <f>'Shipment (Production)'!FY9</f>
        <v>0</v>
      </c>
      <c r="GB9" s="80">
        <f t="shared" si="29"/>
        <v>127.5</v>
      </c>
      <c r="GC9" s="12">
        <f t="shared" si="30"/>
        <v>1795</v>
      </c>
    </row>
    <row r="10" spans="1:185" x14ac:dyDescent="0.35">
      <c r="A10" s="1" t="s">
        <v>10</v>
      </c>
      <c r="B10" s="1" t="s">
        <v>12</v>
      </c>
      <c r="G10" s="80">
        <v>0</v>
      </c>
      <c r="H10" s="3">
        <v>0</v>
      </c>
      <c r="I10" s="3">
        <v>0</v>
      </c>
      <c r="J10" s="3">
        <v>0</v>
      </c>
      <c r="K10" s="3">
        <v>0</v>
      </c>
      <c r="L10" s="80">
        <v>501</v>
      </c>
      <c r="M10" s="3">
        <v>0</v>
      </c>
      <c r="N10" s="3">
        <v>0</v>
      </c>
      <c r="O10" s="3">
        <v>0</v>
      </c>
      <c r="P10" s="3">
        <v>0</v>
      </c>
      <c r="Q10" s="80">
        <v>470</v>
      </c>
      <c r="R10" s="3">
        <v>0</v>
      </c>
      <c r="S10" s="3">
        <v>0</v>
      </c>
      <c r="T10" s="3">
        <v>0</v>
      </c>
      <c r="U10" s="3">
        <v>0</v>
      </c>
      <c r="V10" s="80">
        <v>0</v>
      </c>
      <c r="W10" s="3">
        <v>0</v>
      </c>
      <c r="X10" s="3">
        <v>0</v>
      </c>
      <c r="Y10" s="3">
        <v>0</v>
      </c>
      <c r="Z10" s="3">
        <v>0</v>
      </c>
      <c r="AA10" s="80">
        <v>0</v>
      </c>
      <c r="AB10" s="3">
        <v>0</v>
      </c>
      <c r="AC10" s="3">
        <v>0</v>
      </c>
      <c r="AD10" s="3">
        <v>0</v>
      </c>
      <c r="AE10" s="3">
        <v>0</v>
      </c>
      <c r="AF10" s="80">
        <v>389</v>
      </c>
      <c r="AG10" s="3">
        <v>0</v>
      </c>
      <c r="AH10" s="3">
        <v>0</v>
      </c>
      <c r="AI10" s="3">
        <v>0</v>
      </c>
      <c r="AJ10" s="3">
        <v>0</v>
      </c>
      <c r="AK10" s="80">
        <v>0</v>
      </c>
      <c r="AL10" s="3"/>
      <c r="AM10" s="3"/>
      <c r="AN10" s="3"/>
      <c r="AO10" s="3"/>
      <c r="AP10" s="80">
        <v>0</v>
      </c>
      <c r="AQ10" s="3"/>
      <c r="AR10" s="84"/>
      <c r="AS10" s="3"/>
      <c r="AT10" s="87">
        <v>500</v>
      </c>
      <c r="AU10" s="80">
        <f t="shared" si="0"/>
        <v>500</v>
      </c>
      <c r="AV10" s="3"/>
      <c r="AW10" s="3"/>
      <c r="AX10" s="3"/>
      <c r="AY10" s="3">
        <v>479</v>
      </c>
      <c r="AZ10" s="80">
        <f t="shared" ref="AZ10:AZ14" si="49">SUM(AV10:AY10)</f>
        <v>479</v>
      </c>
      <c r="BA10" s="3"/>
      <c r="BB10" s="3"/>
      <c r="BC10" s="3"/>
      <c r="BD10" s="129">
        <v>0</v>
      </c>
      <c r="BE10" s="80">
        <f t="shared" ref="BE10:BE12" si="50">SUM(BA10:BD10)</f>
        <v>0</v>
      </c>
      <c r="BF10" s="128"/>
      <c r="BG10" s="3"/>
      <c r="BH10" s="129">
        <v>290</v>
      </c>
      <c r="BI10" s="114">
        <f>'Shipment (Production)'!BG10</f>
        <v>0</v>
      </c>
      <c r="BJ10" s="80">
        <f t="shared" ref="BJ10:BJ12" si="51">SUM(BF10:BI10)</f>
        <v>290</v>
      </c>
      <c r="BK10" s="12">
        <f t="shared" ref="BK10:BK14" si="52">G10+L10+Q10+V10+AA10+AF10+AK10+AP10+AU10+AZ10+BE10+BJ10</f>
        <v>2629</v>
      </c>
      <c r="BL10" s="84"/>
      <c r="BM10" s="3"/>
      <c r="BN10" s="3">
        <f>'Shipment (Production)'!BL10</f>
        <v>0</v>
      </c>
      <c r="BO10" s="3">
        <f>'Shipment (Production)'!BM10</f>
        <v>0</v>
      </c>
      <c r="BP10" s="80">
        <f t="shared" ref="BP10:BP12" si="53">SUM(BL10:BO10)</f>
        <v>0</v>
      </c>
      <c r="BQ10" s="3">
        <f>'Shipment (Production)'!BN10</f>
        <v>0</v>
      </c>
      <c r="BR10" s="3">
        <f>'Shipment (Production)'!BO10</f>
        <v>388</v>
      </c>
      <c r="BS10" s="3">
        <f>'Shipment (Production)'!BQ10</f>
        <v>0</v>
      </c>
      <c r="BT10" s="3">
        <f>'Shipment (Production)'!BR10</f>
        <v>0</v>
      </c>
      <c r="BU10" s="80">
        <f t="shared" ref="BU10:BU12" si="54">SUM(BQ10:BT10)</f>
        <v>388</v>
      </c>
      <c r="BV10" s="3">
        <f>'Shipment (Production)'!BS10</f>
        <v>0</v>
      </c>
      <c r="BW10" s="3">
        <f>'Shipment (Production)'!BT10</f>
        <v>400</v>
      </c>
      <c r="BX10" s="3">
        <f>'Shipment (Production)'!BV10</f>
        <v>0</v>
      </c>
      <c r="BY10" s="3">
        <f>'Shipment (Production)'!BW10</f>
        <v>0</v>
      </c>
      <c r="BZ10" s="80">
        <f t="shared" ref="BZ10:BZ12" si="55">SUM(BV10:BY10)</f>
        <v>400</v>
      </c>
      <c r="CA10" s="3">
        <f>'Shipment (Production)'!BX10</f>
        <v>0</v>
      </c>
      <c r="CB10" s="3">
        <f>'Shipment (Production)'!BY10</f>
        <v>150</v>
      </c>
      <c r="CC10" s="3">
        <f>'Shipment (Production)'!CA10</f>
        <v>0</v>
      </c>
      <c r="CD10" s="3">
        <f>'Shipment (Production)'!CB10</f>
        <v>0</v>
      </c>
      <c r="CE10" s="80">
        <f t="shared" ref="CE10:CE12" si="56">SUM(CA10:CD10)</f>
        <v>150</v>
      </c>
      <c r="CF10" s="3">
        <f>'Shipment (Production)'!CC10</f>
        <v>0</v>
      </c>
      <c r="CG10" s="3">
        <f>'Shipment (Production)'!CD10</f>
        <v>250</v>
      </c>
      <c r="CH10" s="3">
        <f>'Shipment (Production)'!CF10</f>
        <v>0</v>
      </c>
      <c r="CI10" s="3">
        <f>'Shipment (Production)'!CG10</f>
        <v>0</v>
      </c>
      <c r="CJ10" s="80">
        <f t="shared" ref="CJ10:CJ12" si="57">SUM(CF10:CI10)</f>
        <v>250</v>
      </c>
      <c r="CK10" s="3">
        <f>'Shipment (Production)'!CH10</f>
        <v>0</v>
      </c>
      <c r="CL10" s="3">
        <f>'Shipment (Production)'!CI10</f>
        <v>200</v>
      </c>
      <c r="CM10" s="3">
        <f>'Shipment (Production)'!CK10</f>
        <v>0</v>
      </c>
      <c r="CN10" s="3">
        <f>'Shipment (Production)'!CL10</f>
        <v>0</v>
      </c>
      <c r="CO10" s="80">
        <f t="shared" ref="CO10:CO12" si="58">SUM(CK10:CN10)</f>
        <v>200</v>
      </c>
      <c r="CP10" s="3">
        <f>'Shipment (Production)'!CM10</f>
        <v>0</v>
      </c>
      <c r="CQ10" s="3">
        <f>'Shipment (Production)'!CN10</f>
        <v>200</v>
      </c>
      <c r="CR10" s="3">
        <f>'Shipment (Production)'!CP10</f>
        <v>0</v>
      </c>
      <c r="CS10" s="3">
        <f>'Shipment (Production)'!CQ10</f>
        <v>0</v>
      </c>
      <c r="CT10" s="80">
        <f t="shared" ref="CT10:CT12" si="59">SUM(CP10:CS10)</f>
        <v>200</v>
      </c>
      <c r="CU10" s="3">
        <f>'Shipment (Production)'!CR10</f>
        <v>0</v>
      </c>
      <c r="CV10" s="3">
        <f>'Shipment (Production)'!CS10</f>
        <v>0</v>
      </c>
      <c r="CW10" s="3">
        <f>'Shipment (Production)'!CU10</f>
        <v>0</v>
      </c>
      <c r="CX10" s="3">
        <f>'Shipment (Production)'!CV10</f>
        <v>0</v>
      </c>
      <c r="CY10" s="80">
        <f t="shared" ref="CY10:CY12" si="60">SUM(CU10:CX10)</f>
        <v>0</v>
      </c>
      <c r="CZ10" s="3">
        <f>'Shipment (Production)'!CW10</f>
        <v>0</v>
      </c>
      <c r="DA10" s="3">
        <f>'Shipment (Production)'!CX10</f>
        <v>0</v>
      </c>
      <c r="DB10" s="3">
        <f>'Shipment (Production)'!CZ10</f>
        <v>0</v>
      </c>
      <c r="DC10" s="3">
        <f>'Shipment (Production)'!DA10</f>
        <v>0</v>
      </c>
      <c r="DD10" s="80">
        <f t="shared" ref="DD10:DD12" si="61">SUM(CZ10:DC10)</f>
        <v>0</v>
      </c>
      <c r="DE10" s="3">
        <f>'Shipment (Production)'!DB10</f>
        <v>0</v>
      </c>
      <c r="DF10" s="3">
        <f>'Shipment (Production)'!DC10</f>
        <v>250</v>
      </c>
      <c r="DG10" s="3">
        <f>'Shipment (Production)'!DE10</f>
        <v>0</v>
      </c>
      <c r="DH10" s="3">
        <f>'Shipment (Production)'!DF10</f>
        <v>0</v>
      </c>
      <c r="DI10" s="80">
        <f t="shared" ref="DI10:DI12" si="62">SUM(DE10:DH10)</f>
        <v>250</v>
      </c>
      <c r="DJ10" s="3">
        <f>'Shipment (Production)'!DG10</f>
        <v>0</v>
      </c>
      <c r="DK10" s="3">
        <f>'Shipment (Production)'!DH10</f>
        <v>200</v>
      </c>
      <c r="DL10" s="3">
        <f>'Shipment (Production)'!DJ10</f>
        <v>0</v>
      </c>
      <c r="DM10" s="3">
        <f>'Shipment (Production)'!DK10</f>
        <v>0</v>
      </c>
      <c r="DN10" s="80">
        <f t="shared" ref="DN10:DN12" si="63">SUM(DJ10:DM10)</f>
        <v>200</v>
      </c>
      <c r="DO10" s="3">
        <f>'Shipment (Production)'!DL10</f>
        <v>0</v>
      </c>
      <c r="DP10" s="3">
        <f>'Shipment (Production)'!DM10</f>
        <v>0</v>
      </c>
      <c r="DQ10" s="3">
        <f>'Shipment (Production)'!DO10</f>
        <v>0</v>
      </c>
      <c r="DR10" s="3">
        <f>'Shipment (Production)'!DP10</f>
        <v>200</v>
      </c>
      <c r="DS10" s="80">
        <f t="shared" ref="DS10:DS12" si="64">SUM(DO10:DR10)</f>
        <v>200</v>
      </c>
      <c r="DT10" s="12">
        <f t="shared" si="48"/>
        <v>2238</v>
      </c>
      <c r="DU10" s="3">
        <f>'Shipment (Production)'!DQ10</f>
        <v>0</v>
      </c>
      <c r="DV10" s="3">
        <f>'Shipment (Production)'!DR10</f>
        <v>0</v>
      </c>
      <c r="DW10" s="3">
        <f>'Shipment (Production)'!DU10</f>
        <v>250</v>
      </c>
      <c r="DX10" s="3">
        <f>'Shipment (Production)'!DV10</f>
        <v>0</v>
      </c>
      <c r="DY10" s="80">
        <f t="shared" si="18"/>
        <v>250</v>
      </c>
      <c r="DZ10" s="3">
        <f>'Shipment (Production)'!DV10</f>
        <v>0</v>
      </c>
      <c r="EA10" s="3">
        <f>'Shipment (Production)'!DW10</f>
        <v>0</v>
      </c>
      <c r="EB10" s="3">
        <f>'Shipment (Production)'!DZ10</f>
        <v>200</v>
      </c>
      <c r="EC10" s="3">
        <f>'Shipment (Production)'!EA10</f>
        <v>0</v>
      </c>
      <c r="ED10" s="80">
        <f t="shared" si="19"/>
        <v>200</v>
      </c>
      <c r="EE10" s="3">
        <f>'Shipment (Production)'!EA10</f>
        <v>0</v>
      </c>
      <c r="EF10" s="3">
        <f>'Shipment (Production)'!EB10</f>
        <v>0</v>
      </c>
      <c r="EG10" s="3">
        <f>'Shipment (Production)'!EE10</f>
        <v>204</v>
      </c>
      <c r="EH10" s="3">
        <f>'Shipment (Production)'!EF10</f>
        <v>0</v>
      </c>
      <c r="EI10" s="80">
        <f t="shared" si="20"/>
        <v>204</v>
      </c>
      <c r="EJ10" s="3">
        <f>'Shipment (Production)'!EF10</f>
        <v>0</v>
      </c>
      <c r="EK10" s="3">
        <f>'Shipment (Production)'!EG10</f>
        <v>0</v>
      </c>
      <c r="EL10" s="3">
        <f>'Shipment (Production)'!EJ10</f>
        <v>306</v>
      </c>
      <c r="EM10" s="3">
        <f>'Shipment (Production)'!EK10</f>
        <v>0</v>
      </c>
      <c r="EN10" s="80">
        <f t="shared" si="21"/>
        <v>306</v>
      </c>
      <c r="EO10" s="3">
        <f>'Shipment (Production)'!EK10</f>
        <v>0</v>
      </c>
      <c r="EP10" s="3">
        <f>'Shipment (Production)'!EL10</f>
        <v>0</v>
      </c>
      <c r="EQ10" s="3">
        <f>'Shipment (Production)'!EO10</f>
        <v>357</v>
      </c>
      <c r="ER10" s="3">
        <f>'Shipment (Production)'!EP10</f>
        <v>0</v>
      </c>
      <c r="ES10" s="80">
        <f t="shared" si="22"/>
        <v>357</v>
      </c>
      <c r="ET10" s="3">
        <f>'Shipment (Production)'!EP10</f>
        <v>0</v>
      </c>
      <c r="EU10" s="3">
        <f>'Shipment (Production)'!EQ10</f>
        <v>0</v>
      </c>
      <c r="EV10" s="3">
        <f>'Shipment (Production)'!ET10</f>
        <v>357</v>
      </c>
      <c r="EW10" s="3">
        <f>'Shipment (Production)'!EU10</f>
        <v>0</v>
      </c>
      <c r="EX10" s="80">
        <f t="shared" si="23"/>
        <v>357</v>
      </c>
      <c r="EY10" s="3">
        <f>'Shipment (Production)'!EU10</f>
        <v>0</v>
      </c>
      <c r="EZ10" s="3">
        <f>'Shipment (Production)'!EV10</f>
        <v>0</v>
      </c>
      <c r="FA10" s="3">
        <f>'Shipment (Production)'!EY10</f>
        <v>306</v>
      </c>
      <c r="FB10" s="3">
        <f>'Shipment (Production)'!EZ10</f>
        <v>0</v>
      </c>
      <c r="FC10" s="80">
        <f t="shared" si="24"/>
        <v>306</v>
      </c>
      <c r="FD10" s="3">
        <f>'Shipment (Production)'!EZ10</f>
        <v>0</v>
      </c>
      <c r="FE10" s="3">
        <f>'Shipment (Production)'!FA10</f>
        <v>0</v>
      </c>
      <c r="FF10" s="3">
        <f>'Shipment (Production)'!FD10</f>
        <v>306</v>
      </c>
      <c r="FG10" s="3">
        <f>'Shipment (Production)'!FE10</f>
        <v>0</v>
      </c>
      <c r="FH10" s="80">
        <f t="shared" si="25"/>
        <v>306</v>
      </c>
      <c r="FI10" s="3">
        <f>'Shipment (Production)'!FE10</f>
        <v>0</v>
      </c>
      <c r="FJ10" s="3">
        <f>'Shipment (Production)'!FF10</f>
        <v>0</v>
      </c>
      <c r="FK10" s="3">
        <f>'Shipment (Production)'!FI10</f>
        <v>255</v>
      </c>
      <c r="FL10" s="3">
        <f>'Shipment (Production)'!FJ10</f>
        <v>0</v>
      </c>
      <c r="FM10" s="80">
        <f t="shared" si="26"/>
        <v>255</v>
      </c>
      <c r="FN10" s="3">
        <f>'Shipment (Production)'!FJ10</f>
        <v>0</v>
      </c>
      <c r="FO10" s="3">
        <f>'Shipment (Production)'!FK10</f>
        <v>0</v>
      </c>
      <c r="FP10" s="3">
        <f>'Shipment (Production)'!FN10</f>
        <v>204</v>
      </c>
      <c r="FQ10" s="3">
        <f>'Shipment (Production)'!FO10</f>
        <v>0</v>
      </c>
      <c r="FR10" s="80">
        <f t="shared" si="27"/>
        <v>204</v>
      </c>
      <c r="FS10" s="3">
        <f>'Shipment (Production)'!FO10</f>
        <v>0</v>
      </c>
      <c r="FT10" s="3">
        <f>'Shipment (Production)'!FP10</f>
        <v>0</v>
      </c>
      <c r="FU10" s="3">
        <f>'Shipment (Production)'!FS10</f>
        <v>204</v>
      </c>
      <c r="FV10" s="3">
        <f>'Shipment (Production)'!FT10</f>
        <v>0</v>
      </c>
      <c r="FW10" s="80">
        <f t="shared" si="28"/>
        <v>204</v>
      </c>
      <c r="FX10" s="3">
        <f>'Shipment (Production)'!FT10</f>
        <v>0</v>
      </c>
      <c r="FY10" s="3">
        <f>'Shipment (Production)'!FU10</f>
        <v>0</v>
      </c>
      <c r="FZ10" s="3">
        <f>'Shipment (Production)'!FX10</f>
        <v>204</v>
      </c>
      <c r="GA10" s="3">
        <f>'Shipment (Production)'!FY10</f>
        <v>0</v>
      </c>
      <c r="GB10" s="80">
        <f t="shared" si="29"/>
        <v>204</v>
      </c>
      <c r="GC10" s="12">
        <f t="shared" si="30"/>
        <v>3153</v>
      </c>
    </row>
    <row r="11" spans="1:185" x14ac:dyDescent="0.35">
      <c r="A11" s="1" t="s">
        <v>10</v>
      </c>
      <c r="B11" s="1" t="s">
        <v>13</v>
      </c>
      <c r="G11" s="80">
        <v>0</v>
      </c>
      <c r="H11" s="3">
        <v>0</v>
      </c>
      <c r="I11" s="3">
        <v>0</v>
      </c>
      <c r="J11" s="3">
        <v>0</v>
      </c>
      <c r="K11" s="3"/>
      <c r="L11" s="80">
        <v>120</v>
      </c>
      <c r="M11" s="3">
        <v>0</v>
      </c>
      <c r="N11" s="3">
        <v>0</v>
      </c>
      <c r="O11" s="3">
        <v>0</v>
      </c>
      <c r="P11" s="3">
        <v>0</v>
      </c>
      <c r="Q11" s="80">
        <v>600</v>
      </c>
      <c r="R11" s="3">
        <v>0</v>
      </c>
      <c r="S11" s="3">
        <v>0</v>
      </c>
      <c r="T11" s="3">
        <v>0</v>
      </c>
      <c r="U11" s="3">
        <v>0</v>
      </c>
      <c r="V11" s="80">
        <v>0</v>
      </c>
      <c r="W11" s="3">
        <v>0</v>
      </c>
      <c r="X11" s="3">
        <v>0</v>
      </c>
      <c r="Y11" s="3">
        <v>0</v>
      </c>
      <c r="Z11" s="3">
        <v>0</v>
      </c>
      <c r="AA11" s="80">
        <v>0</v>
      </c>
      <c r="AB11" s="3">
        <v>0</v>
      </c>
      <c r="AC11" s="3">
        <v>0</v>
      </c>
      <c r="AD11" s="3">
        <v>0</v>
      </c>
      <c r="AE11" s="3">
        <v>0</v>
      </c>
      <c r="AF11" s="80">
        <v>0</v>
      </c>
      <c r="AG11" s="3">
        <v>0</v>
      </c>
      <c r="AH11" s="3">
        <v>0</v>
      </c>
      <c r="AI11" s="3">
        <v>0</v>
      </c>
      <c r="AJ11" s="3">
        <v>0</v>
      </c>
      <c r="AK11" s="80">
        <v>500</v>
      </c>
      <c r="AL11" s="3"/>
      <c r="AM11" s="3"/>
      <c r="AN11" s="3"/>
      <c r="AO11" s="3"/>
      <c r="AP11" s="80">
        <v>0</v>
      </c>
      <c r="AQ11" s="3"/>
      <c r="AR11" s="3"/>
      <c r="AS11" s="3"/>
      <c r="AT11" s="87">
        <v>0</v>
      </c>
      <c r="AU11" s="102">
        <f t="shared" si="0"/>
        <v>0</v>
      </c>
      <c r="AV11" s="3"/>
      <c r="AW11" s="3"/>
      <c r="AX11" s="3"/>
      <c r="AY11" s="3">
        <v>426</v>
      </c>
      <c r="AZ11" s="80">
        <f t="shared" si="49"/>
        <v>426</v>
      </c>
      <c r="BA11" s="3"/>
      <c r="BB11" s="3"/>
      <c r="BC11" s="3"/>
      <c r="BD11" s="129"/>
      <c r="BE11" s="80">
        <f t="shared" si="50"/>
        <v>0</v>
      </c>
      <c r="BF11" s="3"/>
      <c r="BG11" s="3"/>
      <c r="BH11" s="129">
        <v>346</v>
      </c>
      <c r="BI11" s="114">
        <f>'Shipment (Production)'!BG11</f>
        <v>0</v>
      </c>
      <c r="BJ11" s="80">
        <f t="shared" si="51"/>
        <v>346</v>
      </c>
      <c r="BK11" s="136">
        <f t="shared" si="52"/>
        <v>1992</v>
      </c>
      <c r="BL11" s="84"/>
      <c r="BM11" s="3"/>
      <c r="BN11" s="3">
        <f>'Shipment (Production)'!BL11</f>
        <v>0</v>
      </c>
      <c r="BO11" s="3">
        <f>'Shipment (Production)'!BM11</f>
        <v>0</v>
      </c>
      <c r="BP11" s="80">
        <f t="shared" si="53"/>
        <v>0</v>
      </c>
      <c r="BQ11" s="3">
        <f>'Shipment (Production)'!BN11</f>
        <v>0</v>
      </c>
      <c r="BR11" s="3">
        <f>'Shipment (Production)'!BO11</f>
        <v>432</v>
      </c>
      <c r="BS11" s="3">
        <f>'Shipment (Production)'!BQ11</f>
        <v>0</v>
      </c>
      <c r="BT11" s="3">
        <f>'Shipment (Production)'!BR11</f>
        <v>0</v>
      </c>
      <c r="BU11" s="80">
        <f t="shared" si="54"/>
        <v>432</v>
      </c>
      <c r="BV11" s="3">
        <f>'Shipment (Production)'!BS11</f>
        <v>0</v>
      </c>
      <c r="BW11" s="3">
        <f>'Shipment (Production)'!BT11</f>
        <v>175</v>
      </c>
      <c r="BX11" s="3">
        <f>'Shipment (Production)'!BV11</f>
        <v>0</v>
      </c>
      <c r="BY11" s="3">
        <f>'Shipment (Production)'!BW11</f>
        <v>0</v>
      </c>
      <c r="BZ11" s="80">
        <f t="shared" si="55"/>
        <v>175</v>
      </c>
      <c r="CA11" s="3">
        <f>'Shipment (Production)'!BX11</f>
        <v>0</v>
      </c>
      <c r="CB11" s="3">
        <f>'Shipment (Production)'!BY11</f>
        <v>150</v>
      </c>
      <c r="CC11" s="3">
        <f>'Shipment (Production)'!CA11</f>
        <v>0</v>
      </c>
      <c r="CD11" s="3">
        <f>'Shipment (Production)'!CB11</f>
        <v>0</v>
      </c>
      <c r="CE11" s="80">
        <f t="shared" si="56"/>
        <v>150</v>
      </c>
      <c r="CF11" s="3">
        <f>'Shipment (Production)'!CC11</f>
        <v>0</v>
      </c>
      <c r="CG11" s="3">
        <f>'Shipment (Production)'!CD11</f>
        <v>100</v>
      </c>
      <c r="CH11" s="3">
        <f>'Shipment (Production)'!CF11</f>
        <v>0</v>
      </c>
      <c r="CI11" s="3">
        <f>'Shipment (Production)'!CG11</f>
        <v>0</v>
      </c>
      <c r="CJ11" s="80">
        <f t="shared" si="57"/>
        <v>100</v>
      </c>
      <c r="CK11" s="3">
        <f>'Shipment (Production)'!CH11</f>
        <v>0</v>
      </c>
      <c r="CL11" s="3">
        <f>'Shipment (Production)'!CI11</f>
        <v>250</v>
      </c>
      <c r="CM11" s="3">
        <f>'Shipment (Production)'!CK11</f>
        <v>0</v>
      </c>
      <c r="CN11" s="3">
        <f>'Shipment (Production)'!CL11</f>
        <v>0</v>
      </c>
      <c r="CO11" s="80">
        <f t="shared" si="58"/>
        <v>250</v>
      </c>
      <c r="CP11" s="3">
        <f>'Shipment (Production)'!CM11</f>
        <v>0</v>
      </c>
      <c r="CQ11" s="3">
        <f>'Shipment (Production)'!CN11</f>
        <v>100</v>
      </c>
      <c r="CR11" s="3">
        <f>'Shipment (Production)'!CP11</f>
        <v>0</v>
      </c>
      <c r="CS11" s="3">
        <f>'Shipment (Production)'!CQ11</f>
        <v>0</v>
      </c>
      <c r="CT11" s="80">
        <f t="shared" si="59"/>
        <v>100</v>
      </c>
      <c r="CU11" s="3">
        <f>'Shipment (Production)'!CR11</f>
        <v>0</v>
      </c>
      <c r="CV11" s="3">
        <f>'Shipment (Production)'!CS11</f>
        <v>0</v>
      </c>
      <c r="CW11" s="3">
        <f>'Shipment (Production)'!CU11</f>
        <v>0</v>
      </c>
      <c r="CX11" s="3">
        <f>'Shipment (Production)'!CV11</f>
        <v>0</v>
      </c>
      <c r="CY11" s="80">
        <f t="shared" si="60"/>
        <v>0</v>
      </c>
      <c r="CZ11" s="3">
        <f>'Shipment (Production)'!CW11</f>
        <v>0</v>
      </c>
      <c r="DA11" s="3">
        <f>'Shipment (Production)'!CX11</f>
        <v>220</v>
      </c>
      <c r="DB11" s="3">
        <f>'Shipment (Production)'!CZ11</f>
        <v>0</v>
      </c>
      <c r="DC11" s="3">
        <f>'Shipment (Production)'!DA11</f>
        <v>0</v>
      </c>
      <c r="DD11" s="80">
        <f t="shared" si="61"/>
        <v>220</v>
      </c>
      <c r="DE11" s="3">
        <f>'Shipment (Production)'!DB11</f>
        <v>0</v>
      </c>
      <c r="DF11" s="3">
        <f>'Shipment (Production)'!DC11</f>
        <v>175</v>
      </c>
      <c r="DG11" s="3">
        <f>'Shipment (Production)'!DE11</f>
        <v>0</v>
      </c>
      <c r="DH11" s="3">
        <f>'Shipment (Production)'!DF11</f>
        <v>0</v>
      </c>
      <c r="DI11" s="80">
        <f t="shared" si="62"/>
        <v>175</v>
      </c>
      <c r="DJ11" s="3">
        <f>'Shipment (Production)'!DG11</f>
        <v>0</v>
      </c>
      <c r="DK11" s="3">
        <f>'Shipment (Production)'!DH11</f>
        <v>200</v>
      </c>
      <c r="DL11" s="3">
        <f>'Shipment (Production)'!DJ11</f>
        <v>0</v>
      </c>
      <c r="DM11" s="3">
        <f>'Shipment (Production)'!DK11</f>
        <v>0</v>
      </c>
      <c r="DN11" s="80">
        <f t="shared" si="63"/>
        <v>200</v>
      </c>
      <c r="DO11" s="3">
        <f>'Shipment (Production)'!DL11</f>
        <v>0</v>
      </c>
      <c r="DP11" s="3">
        <f>'Shipment (Production)'!DM11</f>
        <v>200</v>
      </c>
      <c r="DQ11" s="3">
        <f>'Shipment (Production)'!DO11</f>
        <v>100</v>
      </c>
      <c r="DR11" s="3">
        <f>'Shipment (Production)'!DP11</f>
        <v>0</v>
      </c>
      <c r="DS11" s="80">
        <f t="shared" si="64"/>
        <v>300</v>
      </c>
      <c r="DT11" s="12">
        <f t="shared" si="48"/>
        <v>2102</v>
      </c>
      <c r="DU11" s="3">
        <f>'Shipment (Production)'!DQ11</f>
        <v>0</v>
      </c>
      <c r="DV11" s="3">
        <f>'Shipment (Production)'!DR11</f>
        <v>0</v>
      </c>
      <c r="DW11" s="3">
        <f>'Shipment (Production)'!DU11</f>
        <v>175</v>
      </c>
      <c r="DX11" s="3">
        <f>'Shipment (Production)'!DV11</f>
        <v>0</v>
      </c>
      <c r="DY11" s="80">
        <f t="shared" si="18"/>
        <v>175</v>
      </c>
      <c r="DZ11" s="3">
        <f>'Shipment (Production)'!DV11</f>
        <v>0</v>
      </c>
      <c r="EA11" s="3">
        <f>'Shipment (Production)'!DW11</f>
        <v>0</v>
      </c>
      <c r="EB11" s="3">
        <f>'Shipment (Production)'!DZ11</f>
        <v>175</v>
      </c>
      <c r="EC11" s="3">
        <f>'Shipment (Production)'!EA11</f>
        <v>0</v>
      </c>
      <c r="ED11" s="80">
        <f t="shared" si="19"/>
        <v>175</v>
      </c>
      <c r="EE11" s="3">
        <f>'Shipment (Production)'!EA11</f>
        <v>0</v>
      </c>
      <c r="EF11" s="3">
        <f>'Shipment (Production)'!EB11</f>
        <v>0</v>
      </c>
      <c r="EG11" s="3">
        <f>'Shipment (Production)'!EE11</f>
        <v>178.5</v>
      </c>
      <c r="EH11" s="3">
        <f>'Shipment (Production)'!EF11</f>
        <v>0</v>
      </c>
      <c r="EI11" s="80">
        <f t="shared" si="20"/>
        <v>178.5</v>
      </c>
      <c r="EJ11" s="3">
        <f>'Shipment (Production)'!EF11</f>
        <v>0</v>
      </c>
      <c r="EK11" s="3">
        <f>'Shipment (Production)'!EG11</f>
        <v>0</v>
      </c>
      <c r="EL11" s="3">
        <f>'Shipment (Production)'!EJ11</f>
        <v>204</v>
      </c>
      <c r="EM11" s="3">
        <f>'Shipment (Production)'!EK11</f>
        <v>0</v>
      </c>
      <c r="EN11" s="80">
        <f t="shared" si="21"/>
        <v>204</v>
      </c>
      <c r="EO11" s="3">
        <f>'Shipment (Production)'!EK11</f>
        <v>0</v>
      </c>
      <c r="EP11" s="3">
        <f>'Shipment (Production)'!EL11</f>
        <v>0</v>
      </c>
      <c r="EQ11" s="3">
        <f>'Shipment (Production)'!EO11</f>
        <v>204</v>
      </c>
      <c r="ER11" s="3">
        <f>'Shipment (Production)'!EP11</f>
        <v>0</v>
      </c>
      <c r="ES11" s="80">
        <f t="shared" si="22"/>
        <v>204</v>
      </c>
      <c r="ET11" s="3">
        <f>'Shipment (Production)'!EP11</f>
        <v>0</v>
      </c>
      <c r="EU11" s="3">
        <f>'Shipment (Production)'!EQ11</f>
        <v>0</v>
      </c>
      <c r="EV11" s="3">
        <f>'Shipment (Production)'!ET11</f>
        <v>204</v>
      </c>
      <c r="EW11" s="3">
        <f>'Shipment (Production)'!EU11</f>
        <v>0</v>
      </c>
      <c r="EX11" s="80">
        <f t="shared" si="23"/>
        <v>204</v>
      </c>
      <c r="EY11" s="3">
        <f>'Shipment (Production)'!EU11</f>
        <v>0</v>
      </c>
      <c r="EZ11" s="3">
        <f>'Shipment (Production)'!EV11</f>
        <v>0</v>
      </c>
      <c r="FA11" s="3">
        <f>'Shipment (Production)'!EY11</f>
        <v>204</v>
      </c>
      <c r="FB11" s="3">
        <f>'Shipment (Production)'!EZ11</f>
        <v>0</v>
      </c>
      <c r="FC11" s="80">
        <f t="shared" si="24"/>
        <v>204</v>
      </c>
      <c r="FD11" s="3">
        <f>'Shipment (Production)'!EZ11</f>
        <v>0</v>
      </c>
      <c r="FE11" s="3">
        <f>'Shipment (Production)'!FA11</f>
        <v>0</v>
      </c>
      <c r="FF11" s="3">
        <f>'Shipment (Production)'!FD11</f>
        <v>178.5</v>
      </c>
      <c r="FG11" s="3">
        <f>'Shipment (Production)'!FE11</f>
        <v>0</v>
      </c>
      <c r="FH11" s="80">
        <f t="shared" si="25"/>
        <v>178.5</v>
      </c>
      <c r="FI11" s="3">
        <f>'Shipment (Production)'!FE11</f>
        <v>0</v>
      </c>
      <c r="FJ11" s="3">
        <f>'Shipment (Production)'!FF11</f>
        <v>0</v>
      </c>
      <c r="FK11" s="3">
        <f>'Shipment (Production)'!FI11</f>
        <v>178.5</v>
      </c>
      <c r="FL11" s="3">
        <f>'Shipment (Production)'!FJ11</f>
        <v>0</v>
      </c>
      <c r="FM11" s="80">
        <f t="shared" si="26"/>
        <v>178.5</v>
      </c>
      <c r="FN11" s="3">
        <f>'Shipment (Production)'!FJ11</f>
        <v>0</v>
      </c>
      <c r="FO11" s="3">
        <f>'Shipment (Production)'!FK11</f>
        <v>0</v>
      </c>
      <c r="FP11" s="3">
        <f>'Shipment (Production)'!FN11</f>
        <v>153</v>
      </c>
      <c r="FQ11" s="3">
        <f>'Shipment (Production)'!FO11</f>
        <v>0</v>
      </c>
      <c r="FR11" s="80">
        <f t="shared" si="27"/>
        <v>153</v>
      </c>
      <c r="FS11" s="3">
        <f>'Shipment (Production)'!FO11</f>
        <v>0</v>
      </c>
      <c r="FT11" s="3">
        <f>'Shipment (Production)'!FP11</f>
        <v>0</v>
      </c>
      <c r="FU11" s="3">
        <f>'Shipment (Production)'!FS11</f>
        <v>153</v>
      </c>
      <c r="FV11" s="3">
        <f>'Shipment (Production)'!FT11</f>
        <v>0</v>
      </c>
      <c r="FW11" s="80">
        <f t="shared" si="28"/>
        <v>153</v>
      </c>
      <c r="FX11" s="3">
        <f>'Shipment (Production)'!FT11</f>
        <v>0</v>
      </c>
      <c r="FY11" s="3">
        <f>'Shipment (Production)'!FU11</f>
        <v>0</v>
      </c>
      <c r="FZ11" s="3">
        <f>'Shipment (Production)'!FX11</f>
        <v>153</v>
      </c>
      <c r="GA11" s="3">
        <f>'Shipment (Production)'!FY11</f>
        <v>0</v>
      </c>
      <c r="GB11" s="80">
        <f t="shared" si="29"/>
        <v>153</v>
      </c>
      <c r="GC11" s="12">
        <f t="shared" si="30"/>
        <v>2160.5</v>
      </c>
    </row>
    <row r="12" spans="1:185" x14ac:dyDescent="0.35">
      <c r="A12" s="1" t="s">
        <v>10</v>
      </c>
      <c r="B12" s="1" t="s">
        <v>14</v>
      </c>
      <c r="G12" s="80">
        <v>3100</v>
      </c>
      <c r="H12" s="3">
        <v>0</v>
      </c>
      <c r="I12" s="3">
        <v>0</v>
      </c>
      <c r="J12" s="3">
        <v>0</v>
      </c>
      <c r="K12" s="3">
        <v>0</v>
      </c>
      <c r="L12" s="80">
        <v>3102</v>
      </c>
      <c r="M12" s="3">
        <v>0</v>
      </c>
      <c r="N12" s="3">
        <v>0</v>
      </c>
      <c r="O12" s="3">
        <v>0</v>
      </c>
      <c r="P12" s="3">
        <v>0</v>
      </c>
      <c r="Q12" s="80">
        <v>2340</v>
      </c>
      <c r="R12" s="3">
        <v>0</v>
      </c>
      <c r="S12" s="3">
        <v>0</v>
      </c>
      <c r="T12" s="3">
        <v>0</v>
      </c>
      <c r="U12" s="3">
        <v>0</v>
      </c>
      <c r="V12" s="80">
        <v>3275</v>
      </c>
      <c r="W12" s="3">
        <v>0</v>
      </c>
      <c r="X12" s="3">
        <v>0</v>
      </c>
      <c r="Y12" s="3">
        <v>0</v>
      </c>
      <c r="Z12" s="3">
        <v>0</v>
      </c>
      <c r="AA12" s="80">
        <v>0</v>
      </c>
      <c r="AB12" s="3">
        <v>0</v>
      </c>
      <c r="AC12" s="3">
        <v>0</v>
      </c>
      <c r="AD12" s="3">
        <v>0</v>
      </c>
      <c r="AE12" s="3">
        <v>0</v>
      </c>
      <c r="AF12" s="80">
        <v>3349</v>
      </c>
      <c r="AG12" s="3">
        <v>0</v>
      </c>
      <c r="AH12" s="3">
        <v>0</v>
      </c>
      <c r="AI12" s="3">
        <v>0</v>
      </c>
      <c r="AJ12" s="3">
        <v>0</v>
      </c>
      <c r="AK12" s="80">
        <v>2624</v>
      </c>
      <c r="AL12" s="3"/>
      <c r="AM12" s="3"/>
      <c r="AN12" s="3"/>
      <c r="AO12" s="3"/>
      <c r="AP12" s="80">
        <v>3940</v>
      </c>
      <c r="AQ12" s="3"/>
      <c r="AR12" s="3"/>
      <c r="AS12" s="3"/>
      <c r="AT12" s="88">
        <v>4944</v>
      </c>
      <c r="AU12" s="102">
        <f t="shared" si="0"/>
        <v>4944</v>
      </c>
      <c r="AV12" s="3"/>
      <c r="AW12" s="3"/>
      <c r="AX12" s="3"/>
      <c r="AY12" s="3">
        <v>5500</v>
      </c>
      <c r="AZ12" s="80">
        <f t="shared" si="49"/>
        <v>5500</v>
      </c>
      <c r="BA12" s="3"/>
      <c r="BB12" s="3"/>
      <c r="BC12" s="3"/>
      <c r="BD12" s="130">
        <v>5430</v>
      </c>
      <c r="BE12" s="80">
        <f t="shared" si="50"/>
        <v>5430</v>
      </c>
      <c r="BF12" s="3"/>
      <c r="BG12" s="3"/>
      <c r="BH12" s="130">
        <v>2167</v>
      </c>
      <c r="BI12" s="114">
        <f>'Shipment (Production)'!BG12</f>
        <v>0</v>
      </c>
      <c r="BJ12" s="80">
        <f t="shared" si="51"/>
        <v>2167</v>
      </c>
      <c r="BK12" s="12">
        <f t="shared" si="52"/>
        <v>39771</v>
      </c>
      <c r="BL12" s="84">
        <f>'Shipment (Production)'!BI12</f>
        <v>0</v>
      </c>
      <c r="BM12" s="3">
        <v>2000</v>
      </c>
      <c r="BN12" s="3">
        <v>3000</v>
      </c>
      <c r="BO12" s="3">
        <v>1500</v>
      </c>
      <c r="BP12" s="80">
        <f t="shared" si="53"/>
        <v>6500</v>
      </c>
      <c r="BQ12" s="3"/>
      <c r="BR12" s="3">
        <f>'Shipment (Production)'!BO12</f>
        <v>0</v>
      </c>
      <c r="BS12" s="3">
        <f>'Shipment (Production)'!BQ12</f>
        <v>3000</v>
      </c>
      <c r="BT12" s="3">
        <f>'Shipment (Production)'!BR12</f>
        <v>2500</v>
      </c>
      <c r="BU12" s="80">
        <f t="shared" si="54"/>
        <v>5500</v>
      </c>
      <c r="BV12" s="3">
        <f>'Shipment (Production)'!BS12</f>
        <v>0</v>
      </c>
      <c r="BW12" s="3">
        <f>'Shipment (Production)'!BT12</f>
        <v>0</v>
      </c>
      <c r="BX12" s="3">
        <f>'Shipment (Production)'!BV12</f>
        <v>3000</v>
      </c>
      <c r="BY12" s="3">
        <f>'Shipment (Production)'!BW12</f>
        <v>3000</v>
      </c>
      <c r="BZ12" s="80">
        <f t="shared" si="55"/>
        <v>6000</v>
      </c>
      <c r="CA12" s="3">
        <f>'Shipment (Production)'!BX12</f>
        <v>0</v>
      </c>
      <c r="CB12" s="3">
        <f>'Shipment (Production)'!BY12</f>
        <v>0</v>
      </c>
      <c r="CC12" s="3">
        <f>'Shipment (Production)'!CA12</f>
        <v>2500</v>
      </c>
      <c r="CD12" s="3">
        <f>'Shipment (Production)'!CB12</f>
        <v>2500</v>
      </c>
      <c r="CE12" s="80">
        <f t="shared" si="56"/>
        <v>5000</v>
      </c>
      <c r="CF12" s="3">
        <f>'Shipment (Production)'!CC12</f>
        <v>0</v>
      </c>
      <c r="CG12" s="3">
        <f>'Shipment (Production)'!CD12</f>
        <v>0</v>
      </c>
      <c r="CH12" s="3">
        <f>'Shipment (Production)'!CF12</f>
        <v>2500</v>
      </c>
      <c r="CI12" s="3">
        <f>'Shipment (Production)'!CG12</f>
        <v>3000</v>
      </c>
      <c r="CJ12" s="80">
        <f t="shared" si="57"/>
        <v>5500</v>
      </c>
      <c r="CK12" s="3">
        <f>'Shipment (Production)'!CH12</f>
        <v>0</v>
      </c>
      <c r="CL12" s="3">
        <f>'Shipment (Production)'!CI12</f>
        <v>0</v>
      </c>
      <c r="CM12" s="3">
        <f>'Shipment (Production)'!CK12</f>
        <v>2500</v>
      </c>
      <c r="CN12" s="3">
        <f>'Shipment (Production)'!CL12</f>
        <v>2000</v>
      </c>
      <c r="CO12" s="80">
        <f t="shared" si="58"/>
        <v>4500</v>
      </c>
      <c r="CP12" s="3">
        <f>'Shipment (Production)'!CM12</f>
        <v>0</v>
      </c>
      <c r="CQ12" s="3">
        <f>'Shipment (Production)'!CN12</f>
        <v>0</v>
      </c>
      <c r="CR12" s="3">
        <f>'Shipment (Production)'!CP12</f>
        <v>2000</v>
      </c>
      <c r="CS12" s="3">
        <f>'Shipment (Production)'!CQ12</f>
        <v>2500</v>
      </c>
      <c r="CT12" s="80">
        <f t="shared" si="59"/>
        <v>4500</v>
      </c>
      <c r="CU12" s="3">
        <f>'Shipment (Production)'!CR12</f>
        <v>0</v>
      </c>
      <c r="CV12" s="3">
        <f>'Shipment (Production)'!CS12</f>
        <v>0</v>
      </c>
      <c r="CW12" s="3">
        <f>'Shipment (Production)'!CU12</f>
        <v>2000</v>
      </c>
      <c r="CX12" s="3">
        <f>'Shipment (Production)'!CV12</f>
        <v>2000</v>
      </c>
      <c r="CY12" s="80">
        <f t="shared" si="60"/>
        <v>4000</v>
      </c>
      <c r="CZ12" s="3">
        <f>'Shipment (Production)'!CW12</f>
        <v>0</v>
      </c>
      <c r="DA12" s="3">
        <f>'Shipment (Production)'!CX12</f>
        <v>0</v>
      </c>
      <c r="DB12" s="3">
        <f>'Shipment (Production)'!CZ12</f>
        <v>2000</v>
      </c>
      <c r="DC12" s="3">
        <f>'Shipment (Production)'!DA12</f>
        <v>2000</v>
      </c>
      <c r="DD12" s="80">
        <f t="shared" si="61"/>
        <v>4000</v>
      </c>
      <c r="DE12" s="3">
        <f>'Shipment (Production)'!DB12</f>
        <v>0</v>
      </c>
      <c r="DF12" s="3">
        <f>'Shipment (Production)'!DC12</f>
        <v>0</v>
      </c>
      <c r="DG12" s="3">
        <f>'Shipment (Production)'!DE12</f>
        <v>2000</v>
      </c>
      <c r="DH12" s="3">
        <f>'Shipment (Production)'!DF12</f>
        <v>2000</v>
      </c>
      <c r="DI12" s="80">
        <f t="shared" si="62"/>
        <v>4000</v>
      </c>
      <c r="DJ12" s="3">
        <f>'Shipment (Production)'!DG12</f>
        <v>0</v>
      </c>
      <c r="DK12" s="3">
        <f>'Shipment (Production)'!DH12</f>
        <v>0</v>
      </c>
      <c r="DL12" s="3">
        <f>'Shipment (Production)'!DJ12</f>
        <v>2000</v>
      </c>
      <c r="DM12" s="3">
        <f>'Shipment (Production)'!DK12</f>
        <v>2500</v>
      </c>
      <c r="DN12" s="80">
        <f t="shared" si="63"/>
        <v>4500</v>
      </c>
      <c r="DO12" s="3">
        <f>'Shipment (Production)'!DL12</f>
        <v>0</v>
      </c>
      <c r="DP12" s="3">
        <f>'Shipment (Production)'!DM12</f>
        <v>0</v>
      </c>
      <c r="DQ12" s="3">
        <f>'Shipment (Production)'!DO12</f>
        <v>2500</v>
      </c>
      <c r="DR12" s="3">
        <f>'Shipment (Production)'!DP12</f>
        <v>0</v>
      </c>
      <c r="DS12" s="80">
        <f t="shared" si="64"/>
        <v>2500</v>
      </c>
      <c r="DT12" s="12">
        <f t="shared" si="48"/>
        <v>56500</v>
      </c>
      <c r="DU12" s="3">
        <f>'Shipment (Production)'!DQ12</f>
        <v>0</v>
      </c>
      <c r="DV12" s="3">
        <f>'Shipment (Production)'!DR12</f>
        <v>0</v>
      </c>
      <c r="DW12" s="3">
        <f>'Shipment (Production)'!DU12</f>
        <v>5500</v>
      </c>
      <c r="DX12" s="3">
        <f>'Shipment (Production)'!DV12</f>
        <v>0</v>
      </c>
      <c r="DY12" s="80">
        <f t="shared" si="18"/>
        <v>5500</v>
      </c>
      <c r="DZ12" s="3">
        <f>'Shipment (Production)'!DV12</f>
        <v>0</v>
      </c>
      <c r="EA12" s="3">
        <f>'Shipment (Production)'!DW12</f>
        <v>0</v>
      </c>
      <c r="EB12" s="3">
        <f>'Shipment (Production)'!DZ12</f>
        <v>5000</v>
      </c>
      <c r="EC12" s="3">
        <f>'Shipment (Production)'!EA12</f>
        <v>0</v>
      </c>
      <c r="ED12" s="80">
        <f t="shared" si="19"/>
        <v>5000</v>
      </c>
      <c r="EE12" s="3">
        <f>'Shipment (Production)'!EA12</f>
        <v>0</v>
      </c>
      <c r="EF12" s="3">
        <f>'Shipment (Production)'!EB12</f>
        <v>0</v>
      </c>
      <c r="EG12" s="3">
        <f>'Shipment (Production)'!EE12</f>
        <v>5100</v>
      </c>
      <c r="EH12" s="3">
        <f>'Shipment (Production)'!EF12</f>
        <v>0</v>
      </c>
      <c r="EI12" s="80">
        <f t="shared" si="20"/>
        <v>5100</v>
      </c>
      <c r="EJ12" s="3">
        <f>'Shipment (Production)'!EF12</f>
        <v>0</v>
      </c>
      <c r="EK12" s="3">
        <f>'Shipment (Production)'!EG12</f>
        <v>0</v>
      </c>
      <c r="EL12" s="3">
        <f>'Shipment (Production)'!EJ12</f>
        <v>4590</v>
      </c>
      <c r="EM12" s="3">
        <f>'Shipment (Production)'!EK12</f>
        <v>0</v>
      </c>
      <c r="EN12" s="80">
        <f t="shared" si="21"/>
        <v>4590</v>
      </c>
      <c r="EO12" s="3">
        <f>'Shipment (Production)'!EK12</f>
        <v>0</v>
      </c>
      <c r="EP12" s="3">
        <f>'Shipment (Production)'!EL12</f>
        <v>0</v>
      </c>
      <c r="EQ12" s="3">
        <f>'Shipment (Production)'!EO12</f>
        <v>4590</v>
      </c>
      <c r="ER12" s="3">
        <f>'Shipment (Production)'!EP12</f>
        <v>0</v>
      </c>
      <c r="ES12" s="80">
        <f t="shared" si="22"/>
        <v>4590</v>
      </c>
      <c r="ET12" s="3">
        <f>'Shipment (Production)'!EP12</f>
        <v>0</v>
      </c>
      <c r="EU12" s="3">
        <f>'Shipment (Production)'!EQ12</f>
        <v>0</v>
      </c>
      <c r="EV12" s="3">
        <f>'Shipment (Production)'!ET12</f>
        <v>4590</v>
      </c>
      <c r="EW12" s="3">
        <f>'Shipment (Production)'!EU12</f>
        <v>0</v>
      </c>
      <c r="EX12" s="80">
        <f t="shared" si="23"/>
        <v>4590</v>
      </c>
      <c r="EY12" s="3">
        <f>'Shipment (Production)'!EU12</f>
        <v>0</v>
      </c>
      <c r="EZ12" s="3">
        <f>'Shipment (Production)'!EV12</f>
        <v>0</v>
      </c>
      <c r="FA12" s="3">
        <f>'Shipment (Production)'!EY12</f>
        <v>4590</v>
      </c>
      <c r="FB12" s="3">
        <f>'Shipment (Production)'!EZ12</f>
        <v>0</v>
      </c>
      <c r="FC12" s="80">
        <f t="shared" si="24"/>
        <v>4590</v>
      </c>
      <c r="FD12" s="3">
        <f>'Shipment (Production)'!EZ12</f>
        <v>0</v>
      </c>
      <c r="FE12" s="3">
        <f>'Shipment (Production)'!FA12</f>
        <v>0</v>
      </c>
      <c r="FF12" s="3">
        <f>'Shipment (Production)'!FD12</f>
        <v>4590</v>
      </c>
      <c r="FG12" s="3">
        <f>'Shipment (Production)'!FE12</f>
        <v>0</v>
      </c>
      <c r="FH12" s="80">
        <f t="shared" si="25"/>
        <v>4590</v>
      </c>
      <c r="FI12" s="3">
        <f>'Shipment (Production)'!FE12</f>
        <v>0</v>
      </c>
      <c r="FJ12" s="3">
        <f>'Shipment (Production)'!FF12</f>
        <v>0</v>
      </c>
      <c r="FK12" s="3">
        <f>'Shipment (Production)'!FI12</f>
        <v>4590</v>
      </c>
      <c r="FL12" s="3">
        <f>'Shipment (Production)'!FJ12</f>
        <v>0</v>
      </c>
      <c r="FM12" s="80">
        <f t="shared" si="26"/>
        <v>4590</v>
      </c>
      <c r="FN12" s="3">
        <f>'Shipment (Production)'!FJ12</f>
        <v>0</v>
      </c>
      <c r="FO12" s="3">
        <f>'Shipment (Production)'!FK12</f>
        <v>0</v>
      </c>
      <c r="FP12" s="3">
        <f>'Shipment (Production)'!FN12</f>
        <v>3570</v>
      </c>
      <c r="FQ12" s="3">
        <f>'Shipment (Production)'!FO12</f>
        <v>0</v>
      </c>
      <c r="FR12" s="80">
        <f t="shared" si="27"/>
        <v>3570</v>
      </c>
      <c r="FS12" s="3">
        <f>'Shipment (Production)'!FO12</f>
        <v>0</v>
      </c>
      <c r="FT12" s="3">
        <f>'Shipment (Production)'!FP12</f>
        <v>0</v>
      </c>
      <c r="FU12" s="3">
        <f>'Shipment (Production)'!FS12</f>
        <v>3570</v>
      </c>
      <c r="FV12" s="3">
        <f>'Shipment (Production)'!FT12</f>
        <v>0</v>
      </c>
      <c r="FW12" s="80">
        <f t="shared" si="28"/>
        <v>3570</v>
      </c>
      <c r="FX12" s="3">
        <f>'Shipment (Production)'!FT12</f>
        <v>0</v>
      </c>
      <c r="FY12" s="3">
        <f>'Shipment (Production)'!FU12</f>
        <v>0</v>
      </c>
      <c r="FZ12" s="3">
        <f>'Shipment (Production)'!FX12</f>
        <v>3570</v>
      </c>
      <c r="GA12" s="3">
        <f>'Shipment (Production)'!FY12</f>
        <v>0</v>
      </c>
      <c r="GB12" s="80">
        <f t="shared" si="29"/>
        <v>3570</v>
      </c>
      <c r="GC12" s="12">
        <f t="shared" si="30"/>
        <v>53850</v>
      </c>
    </row>
    <row r="13" spans="1:185" x14ac:dyDescent="0.35">
      <c r="A13" s="1" t="s">
        <v>10</v>
      </c>
      <c r="B13" s="1" t="s">
        <v>15</v>
      </c>
      <c r="G13" s="80">
        <v>300</v>
      </c>
      <c r="H13" s="3">
        <v>0</v>
      </c>
      <c r="I13" s="3">
        <v>0</v>
      </c>
      <c r="J13" s="3">
        <v>0</v>
      </c>
      <c r="K13" s="3">
        <v>0</v>
      </c>
      <c r="L13" s="80">
        <v>1264</v>
      </c>
      <c r="M13" s="3">
        <v>0</v>
      </c>
      <c r="N13" s="3">
        <v>0</v>
      </c>
      <c r="O13" s="3">
        <v>0</v>
      </c>
      <c r="P13" s="3">
        <v>0</v>
      </c>
      <c r="Q13" s="80">
        <v>0</v>
      </c>
      <c r="R13" s="3">
        <v>0</v>
      </c>
      <c r="S13" s="3">
        <v>0</v>
      </c>
      <c r="T13" s="3">
        <v>0</v>
      </c>
      <c r="U13" s="3">
        <v>0</v>
      </c>
      <c r="V13" s="80">
        <v>23</v>
      </c>
      <c r="W13" s="3">
        <v>0</v>
      </c>
      <c r="X13" s="3">
        <v>0</v>
      </c>
      <c r="Y13" s="3">
        <v>0</v>
      </c>
      <c r="Z13" s="3">
        <v>0</v>
      </c>
      <c r="AA13" s="80">
        <v>0</v>
      </c>
      <c r="AB13" s="3">
        <v>0</v>
      </c>
      <c r="AC13" s="3">
        <v>0</v>
      </c>
      <c r="AD13" s="3">
        <v>0</v>
      </c>
      <c r="AE13" s="3">
        <v>0</v>
      </c>
      <c r="AF13" s="80">
        <v>0</v>
      </c>
      <c r="AG13" s="3">
        <v>0</v>
      </c>
      <c r="AH13" s="3">
        <v>0</v>
      </c>
      <c r="AI13" s="3">
        <v>0</v>
      </c>
      <c r="AJ13" s="3">
        <v>0</v>
      </c>
      <c r="AK13" s="80">
        <v>0</v>
      </c>
      <c r="AL13" s="3"/>
      <c r="AM13" s="3"/>
      <c r="AN13" s="3"/>
      <c r="AO13" s="3"/>
      <c r="AP13" s="80">
        <v>0</v>
      </c>
      <c r="AQ13" s="3"/>
      <c r="AR13" s="84"/>
      <c r="AS13" s="3"/>
      <c r="AT13" s="87">
        <v>631</v>
      </c>
      <c r="AU13" s="102">
        <f>SUM(AQ13:AT13)</f>
        <v>631</v>
      </c>
      <c r="AV13" s="3"/>
      <c r="AW13" s="3"/>
      <c r="AX13" s="3"/>
      <c r="AY13" s="3">
        <v>400</v>
      </c>
      <c r="AZ13" s="80">
        <f>SUM(AV13:AY13)</f>
        <v>400</v>
      </c>
      <c r="BA13" s="3"/>
      <c r="BB13" s="3"/>
      <c r="BC13" s="3"/>
      <c r="BD13" s="129">
        <v>0</v>
      </c>
      <c r="BE13" s="80">
        <f>SUM(BA13:BD13)</f>
        <v>0</v>
      </c>
      <c r="BF13" s="128"/>
      <c r="BG13" s="3"/>
      <c r="BH13" s="129">
        <v>402</v>
      </c>
      <c r="BI13" s="114">
        <f>'Shipment (Production)'!BG13</f>
        <v>0</v>
      </c>
      <c r="BJ13" s="80">
        <f>SUM(BF13:BI13)</f>
        <v>402</v>
      </c>
      <c r="BK13" s="12">
        <f>G13+L13+Q13+V13+AA13+AF13+AK13+AP13+AU13+AZ13+BE13+BJ13</f>
        <v>3020</v>
      </c>
      <c r="BL13" s="84">
        <f>'Shipment (Production)'!BI13</f>
        <v>0</v>
      </c>
      <c r="BM13" s="3"/>
      <c r="BN13" s="3">
        <f>'Shipment (Production)'!BL13</f>
        <v>0</v>
      </c>
      <c r="BO13" s="3">
        <f>'Shipment (Production)'!BM13</f>
        <v>0</v>
      </c>
      <c r="BP13" s="80">
        <f>SUM(BL13:BO13)</f>
        <v>0</v>
      </c>
      <c r="BQ13" s="3">
        <f>'Shipment (Production)'!BN13</f>
        <v>0</v>
      </c>
      <c r="BR13" s="3">
        <f>'Shipment (Production)'!BO13</f>
        <v>459</v>
      </c>
      <c r="BS13" s="3">
        <f>'Shipment (Production)'!BQ13</f>
        <v>0</v>
      </c>
      <c r="BT13" s="3">
        <f>'Shipment (Production)'!BR13</f>
        <v>0</v>
      </c>
      <c r="BU13" s="80">
        <f>SUM(BQ13:BT13)</f>
        <v>459</v>
      </c>
      <c r="BV13" s="3">
        <f>'Shipment (Production)'!BS13</f>
        <v>0</v>
      </c>
      <c r="BW13" s="3">
        <f>'Shipment (Production)'!BT13</f>
        <v>288</v>
      </c>
      <c r="BX13" s="3">
        <f>'Shipment (Production)'!BV13</f>
        <v>0</v>
      </c>
      <c r="BY13" s="3">
        <f>'Shipment (Production)'!BW13</f>
        <v>0</v>
      </c>
      <c r="BZ13" s="80">
        <f>SUM(BV13:BY13)</f>
        <v>288</v>
      </c>
      <c r="CA13" s="3">
        <f>'Shipment (Production)'!BX13</f>
        <v>0</v>
      </c>
      <c r="CB13" s="3">
        <f>'Shipment (Production)'!BY13</f>
        <v>400</v>
      </c>
      <c r="CC13" s="3">
        <f>'Shipment (Production)'!CA13</f>
        <v>0</v>
      </c>
      <c r="CD13" s="3">
        <f>'Shipment (Production)'!CB13</f>
        <v>0</v>
      </c>
      <c r="CE13" s="80">
        <f>SUM(CA13:CD13)</f>
        <v>400</v>
      </c>
      <c r="CF13" s="3">
        <f>'Shipment (Production)'!CC13</f>
        <v>0</v>
      </c>
      <c r="CG13" s="3">
        <f>'Shipment (Production)'!CD13</f>
        <v>0</v>
      </c>
      <c r="CH13" s="3">
        <f>'Shipment (Production)'!CF13</f>
        <v>0</v>
      </c>
      <c r="CI13" s="3">
        <f>'Shipment (Production)'!CG13</f>
        <v>0</v>
      </c>
      <c r="CJ13" s="80">
        <f>SUM(CF13:CI13)</f>
        <v>0</v>
      </c>
      <c r="CK13" s="3">
        <f>'Shipment (Production)'!CH13</f>
        <v>0</v>
      </c>
      <c r="CL13" s="3">
        <f>'Shipment (Production)'!CI13</f>
        <v>0</v>
      </c>
      <c r="CM13" s="3">
        <f>'Shipment (Production)'!CK13</f>
        <v>0</v>
      </c>
      <c r="CN13" s="3">
        <f>'Shipment (Production)'!CL13</f>
        <v>0</v>
      </c>
      <c r="CO13" s="80">
        <f>SUM(CK13:CN13)</f>
        <v>0</v>
      </c>
      <c r="CP13" s="3">
        <f>'Shipment (Production)'!CM13</f>
        <v>0</v>
      </c>
      <c r="CQ13" s="3">
        <f>'Shipment (Production)'!CN13</f>
        <v>0</v>
      </c>
      <c r="CR13" s="3">
        <f>'Shipment (Production)'!CP13</f>
        <v>200</v>
      </c>
      <c r="CS13" s="3">
        <f>'Shipment (Production)'!CQ13</f>
        <v>0</v>
      </c>
      <c r="CT13" s="80">
        <f>SUM(CP13:CS13)</f>
        <v>200</v>
      </c>
      <c r="CU13" s="3">
        <f>'Shipment (Production)'!CR13</f>
        <v>0</v>
      </c>
      <c r="CV13" s="3">
        <f>'Shipment (Production)'!CS13</f>
        <v>0</v>
      </c>
      <c r="CW13" s="3">
        <f>'Shipment (Production)'!CU13</f>
        <v>0</v>
      </c>
      <c r="CX13" s="3">
        <f>'Shipment (Production)'!CV13</f>
        <v>200</v>
      </c>
      <c r="CY13" s="80">
        <f>SUM(CU13:CX13)</f>
        <v>200</v>
      </c>
      <c r="CZ13" s="3">
        <f>'Shipment (Production)'!CW13</f>
        <v>0</v>
      </c>
      <c r="DA13" s="3">
        <f>'Shipment (Production)'!CX13</f>
        <v>0</v>
      </c>
      <c r="DB13" s="3">
        <f>'Shipment (Production)'!CZ13</f>
        <v>0</v>
      </c>
      <c r="DC13" s="3">
        <f>'Shipment (Production)'!DA13</f>
        <v>0</v>
      </c>
      <c r="DD13" s="80">
        <f>SUM(CZ13:DC13)</f>
        <v>0</v>
      </c>
      <c r="DE13" s="3">
        <f>'Shipment (Production)'!DB13</f>
        <v>0</v>
      </c>
      <c r="DF13" s="3">
        <f>'Shipment (Production)'!DC13</f>
        <v>250</v>
      </c>
      <c r="DG13" s="3">
        <f>'Shipment (Production)'!DE13</f>
        <v>0</v>
      </c>
      <c r="DH13" s="3">
        <f>'Shipment (Production)'!DF13</f>
        <v>0</v>
      </c>
      <c r="DI13" s="80">
        <f>SUM(DE13:DH13)</f>
        <v>250</v>
      </c>
      <c r="DJ13" s="3">
        <f>'Shipment (Production)'!DG13</f>
        <v>0</v>
      </c>
      <c r="DK13" s="3">
        <f>'Shipment (Production)'!DH13</f>
        <v>250</v>
      </c>
      <c r="DL13" s="3">
        <f>'Shipment (Production)'!DJ13</f>
        <v>0</v>
      </c>
      <c r="DM13" s="3">
        <f>'Shipment (Production)'!DK13</f>
        <v>0</v>
      </c>
      <c r="DN13" s="80">
        <f>SUM(DJ13:DM13)</f>
        <v>250</v>
      </c>
      <c r="DO13" s="3">
        <f>'Shipment (Production)'!DL13</f>
        <v>0</v>
      </c>
      <c r="DP13" s="3">
        <f>'Shipment (Production)'!DM13</f>
        <v>0</v>
      </c>
      <c r="DQ13" s="3">
        <f>'Shipment (Production)'!DO13</f>
        <v>0</v>
      </c>
      <c r="DR13" s="3">
        <f>'Shipment (Production)'!DP13</f>
        <v>200</v>
      </c>
      <c r="DS13" s="80">
        <f>SUM(DO13:DR13)</f>
        <v>200</v>
      </c>
      <c r="DT13" s="12">
        <f>BP13+BU13+BZ13+CE13+CJ13+CO13+CT13+CY13+DD13+DI13+DN13+DS13</f>
        <v>2247</v>
      </c>
      <c r="DU13" s="3">
        <f>'Shipment (Production)'!DQ13</f>
        <v>0</v>
      </c>
      <c r="DV13" s="3">
        <f>'Shipment (Production)'!DR13</f>
        <v>0</v>
      </c>
      <c r="DW13" s="3">
        <f>'Shipment (Production)'!DU13</f>
        <v>200</v>
      </c>
      <c r="DX13" s="3">
        <f>'Shipment (Production)'!DV13</f>
        <v>0</v>
      </c>
      <c r="DY13" s="80">
        <f t="shared" si="18"/>
        <v>200</v>
      </c>
      <c r="DZ13" s="3">
        <f>'Shipment (Production)'!DV13</f>
        <v>0</v>
      </c>
      <c r="EA13" s="3">
        <f>'Shipment (Production)'!DW13</f>
        <v>0</v>
      </c>
      <c r="EB13" s="3">
        <f>'Shipment (Production)'!DZ13</f>
        <v>200</v>
      </c>
      <c r="EC13" s="3">
        <f>'Shipment (Production)'!EA13</f>
        <v>0</v>
      </c>
      <c r="ED13" s="80">
        <f t="shared" si="19"/>
        <v>200</v>
      </c>
      <c r="EE13" s="3">
        <f>'Shipment (Production)'!EA13</f>
        <v>0</v>
      </c>
      <c r="EF13" s="3">
        <f>'Shipment (Production)'!EB13</f>
        <v>0</v>
      </c>
      <c r="EG13" s="3">
        <f>'Shipment (Production)'!EE13</f>
        <v>204</v>
      </c>
      <c r="EH13" s="3">
        <f>'Shipment (Production)'!EF13</f>
        <v>0</v>
      </c>
      <c r="EI13" s="80">
        <f t="shared" si="20"/>
        <v>204</v>
      </c>
      <c r="EJ13" s="3">
        <f>'Shipment (Production)'!EF13</f>
        <v>0</v>
      </c>
      <c r="EK13" s="3">
        <f>'Shipment (Production)'!EG13</f>
        <v>0</v>
      </c>
      <c r="EL13" s="3">
        <f>'Shipment (Production)'!EJ13</f>
        <v>306</v>
      </c>
      <c r="EM13" s="3">
        <f>'Shipment (Production)'!EK13</f>
        <v>0</v>
      </c>
      <c r="EN13" s="80">
        <f t="shared" si="21"/>
        <v>306</v>
      </c>
      <c r="EO13" s="3">
        <f>'Shipment (Production)'!EK13</f>
        <v>0</v>
      </c>
      <c r="EP13" s="3">
        <f>'Shipment (Production)'!EL13</f>
        <v>0</v>
      </c>
      <c r="EQ13" s="3">
        <f>'Shipment (Production)'!EO13</f>
        <v>306</v>
      </c>
      <c r="ER13" s="3">
        <f>'Shipment (Production)'!EP13</f>
        <v>0</v>
      </c>
      <c r="ES13" s="80">
        <f t="shared" si="22"/>
        <v>306</v>
      </c>
      <c r="ET13" s="3">
        <f>'Shipment (Production)'!EP13</f>
        <v>0</v>
      </c>
      <c r="EU13" s="3">
        <f>'Shipment (Production)'!EQ13</f>
        <v>0</v>
      </c>
      <c r="EV13" s="3">
        <f>'Shipment (Production)'!ET13</f>
        <v>306</v>
      </c>
      <c r="EW13" s="3">
        <f>'Shipment (Production)'!EU13</f>
        <v>0</v>
      </c>
      <c r="EX13" s="80">
        <f t="shared" si="23"/>
        <v>306</v>
      </c>
      <c r="EY13" s="3">
        <f>'Shipment (Production)'!EU13</f>
        <v>0</v>
      </c>
      <c r="EZ13" s="3">
        <f>'Shipment (Production)'!EV13</f>
        <v>0</v>
      </c>
      <c r="FA13" s="3">
        <f>'Shipment (Production)'!EY13</f>
        <v>306</v>
      </c>
      <c r="FB13" s="3">
        <f>'Shipment (Production)'!EZ13</f>
        <v>0</v>
      </c>
      <c r="FC13" s="80">
        <f t="shared" si="24"/>
        <v>306</v>
      </c>
      <c r="FD13" s="3">
        <f>'Shipment (Production)'!EZ13</f>
        <v>0</v>
      </c>
      <c r="FE13" s="3">
        <f>'Shipment (Production)'!FA13</f>
        <v>0</v>
      </c>
      <c r="FF13" s="3">
        <f>'Shipment (Production)'!FD13</f>
        <v>306</v>
      </c>
      <c r="FG13" s="3">
        <f>'Shipment (Production)'!FE13</f>
        <v>0</v>
      </c>
      <c r="FH13" s="80">
        <f t="shared" si="25"/>
        <v>306</v>
      </c>
      <c r="FI13" s="3">
        <f>'Shipment (Production)'!FE13</f>
        <v>0</v>
      </c>
      <c r="FJ13" s="3">
        <f>'Shipment (Production)'!FF13</f>
        <v>0</v>
      </c>
      <c r="FK13" s="3">
        <f>'Shipment (Production)'!FI13</f>
        <v>306</v>
      </c>
      <c r="FL13" s="3">
        <f>'Shipment (Production)'!FJ13</f>
        <v>0</v>
      </c>
      <c r="FM13" s="80">
        <f t="shared" si="26"/>
        <v>306</v>
      </c>
      <c r="FN13" s="3">
        <f>'Shipment (Production)'!FJ13</f>
        <v>0</v>
      </c>
      <c r="FO13" s="3">
        <f>'Shipment (Production)'!FK13</f>
        <v>0</v>
      </c>
      <c r="FP13" s="3">
        <f>'Shipment (Production)'!FN13</f>
        <v>306</v>
      </c>
      <c r="FQ13" s="3">
        <f>'Shipment (Production)'!FO13</f>
        <v>0</v>
      </c>
      <c r="FR13" s="80">
        <f t="shared" si="27"/>
        <v>306</v>
      </c>
      <c r="FS13" s="3">
        <f>'Shipment (Production)'!FO13</f>
        <v>0</v>
      </c>
      <c r="FT13" s="3">
        <f>'Shipment (Production)'!FP13</f>
        <v>0</v>
      </c>
      <c r="FU13" s="3">
        <f>'Shipment (Production)'!FS13</f>
        <v>255</v>
      </c>
      <c r="FV13" s="3">
        <f>'Shipment (Production)'!FT13</f>
        <v>0</v>
      </c>
      <c r="FW13" s="80">
        <f t="shared" si="28"/>
        <v>255</v>
      </c>
      <c r="FX13" s="3">
        <f>'Shipment (Production)'!FT13</f>
        <v>0</v>
      </c>
      <c r="FY13" s="3">
        <f>'Shipment (Production)'!FU13</f>
        <v>0</v>
      </c>
      <c r="FZ13" s="3">
        <f>'Shipment (Production)'!FX13</f>
        <v>255</v>
      </c>
      <c r="GA13" s="3">
        <f>'Shipment (Production)'!FY13</f>
        <v>0</v>
      </c>
      <c r="GB13" s="80">
        <f t="shared" si="29"/>
        <v>255</v>
      </c>
      <c r="GC13" s="12">
        <f t="shared" si="30"/>
        <v>3256</v>
      </c>
    </row>
    <row r="14" spans="1:185" x14ac:dyDescent="0.35">
      <c r="A14" s="1" t="s">
        <v>16</v>
      </c>
      <c r="B14" s="1" t="s">
        <v>17</v>
      </c>
      <c r="G14" s="80">
        <v>0</v>
      </c>
      <c r="H14" s="3">
        <v>0</v>
      </c>
      <c r="I14" s="3">
        <v>0</v>
      </c>
      <c r="J14" s="3">
        <v>0</v>
      </c>
      <c r="K14" s="3">
        <v>0</v>
      </c>
      <c r="L14" s="80">
        <v>0</v>
      </c>
      <c r="M14" s="3">
        <v>0</v>
      </c>
      <c r="N14" s="3">
        <v>0</v>
      </c>
      <c r="O14" s="3">
        <v>0</v>
      </c>
      <c r="P14" s="3">
        <v>0</v>
      </c>
      <c r="Q14" s="80">
        <v>0</v>
      </c>
      <c r="R14" s="3">
        <v>0</v>
      </c>
      <c r="S14" s="3">
        <v>0</v>
      </c>
      <c r="T14" s="3">
        <v>0</v>
      </c>
      <c r="U14" s="3">
        <v>0</v>
      </c>
      <c r="V14" s="80">
        <v>0</v>
      </c>
      <c r="W14" s="3">
        <v>0</v>
      </c>
      <c r="X14" s="3">
        <v>0</v>
      </c>
      <c r="Y14" s="3">
        <v>0</v>
      </c>
      <c r="Z14" s="3">
        <v>0</v>
      </c>
      <c r="AA14" s="80">
        <v>0</v>
      </c>
      <c r="AB14" s="3">
        <v>0</v>
      </c>
      <c r="AC14" s="3">
        <v>0</v>
      </c>
      <c r="AD14" s="3">
        <v>0</v>
      </c>
      <c r="AE14" s="3">
        <v>0</v>
      </c>
      <c r="AF14" s="80">
        <v>0</v>
      </c>
      <c r="AG14" s="3">
        <v>0</v>
      </c>
      <c r="AH14" s="3">
        <v>0</v>
      </c>
      <c r="AI14" s="3">
        <v>0</v>
      </c>
      <c r="AJ14" s="3">
        <v>0</v>
      </c>
      <c r="AK14" s="80">
        <v>0</v>
      </c>
      <c r="AL14" s="3"/>
      <c r="AM14" s="3"/>
      <c r="AN14" s="3"/>
      <c r="AO14" s="3"/>
      <c r="AP14" s="80">
        <v>0</v>
      </c>
      <c r="AQ14" s="3"/>
      <c r="AR14" s="3"/>
      <c r="AS14" s="3"/>
      <c r="AT14" s="87">
        <v>0</v>
      </c>
      <c r="AU14" s="80">
        <f t="shared" si="0"/>
        <v>0</v>
      </c>
      <c r="AV14" s="3">
        <f>'Shipment (Production)'!AS14</f>
        <v>0</v>
      </c>
      <c r="AW14" s="3">
        <f>'Shipment (Production)'!AT14</f>
        <v>0</v>
      </c>
      <c r="AX14" s="3">
        <f>'Shipment (Production)'!AV14</f>
        <v>0</v>
      </c>
      <c r="AY14" s="3">
        <v>0</v>
      </c>
      <c r="AZ14" s="80">
        <f t="shared" si="49"/>
        <v>0</v>
      </c>
      <c r="BA14" s="3"/>
      <c r="BB14" s="3"/>
      <c r="BC14" s="3"/>
      <c r="BD14" s="131">
        <v>0</v>
      </c>
      <c r="BE14" s="80">
        <f t="shared" ref="BE14" si="65">SUM(BA14:BD14)</f>
        <v>0</v>
      </c>
      <c r="BF14" s="3"/>
      <c r="BG14" s="3"/>
      <c r="BH14" s="135">
        <v>0</v>
      </c>
      <c r="BI14" s="114">
        <f>'Shipment (Production)'!BG14</f>
        <v>0</v>
      </c>
      <c r="BJ14" s="80">
        <f t="shared" ref="BJ14" si="66">SUM(BF14:BI14)</f>
        <v>0</v>
      </c>
      <c r="BK14" s="12">
        <f t="shared" si="52"/>
        <v>0</v>
      </c>
      <c r="BL14" s="84">
        <f>'Shipment (Production)'!BI14</f>
        <v>0</v>
      </c>
      <c r="BM14" s="3"/>
      <c r="BN14" s="3" t="str">
        <f>'Shipment (Production)'!BL14</f>
        <v> </v>
      </c>
      <c r="BO14" s="3">
        <f>'Shipment (Production)'!BM14</f>
        <v>0</v>
      </c>
      <c r="BP14" s="80">
        <f t="shared" ref="BP14" si="67">SUM(BL14:BO14)</f>
        <v>0</v>
      </c>
      <c r="BQ14" s="3">
        <f>'Shipment (Production)'!BN14</f>
        <v>0</v>
      </c>
      <c r="BR14" s="3">
        <f>'Shipment (Production)'!BO14</f>
        <v>0</v>
      </c>
      <c r="BS14" s="3" t="str">
        <f>'Shipment (Production)'!BQ14</f>
        <v> </v>
      </c>
      <c r="BT14" s="3">
        <f>'Shipment (Production)'!BR14</f>
        <v>0</v>
      </c>
      <c r="BU14" s="80">
        <f t="shared" ref="BU14" si="68">SUM(BQ14:BT14)</f>
        <v>0</v>
      </c>
      <c r="BV14" s="3">
        <f>'Shipment (Production)'!BS14</f>
        <v>0</v>
      </c>
      <c r="BW14" s="3">
        <f>'Shipment (Production)'!BT14</f>
        <v>0</v>
      </c>
      <c r="BX14" s="3" t="str">
        <f>'Shipment (Production)'!BV14</f>
        <v> </v>
      </c>
      <c r="BY14" s="3">
        <f>'Shipment (Production)'!BW14</f>
        <v>0</v>
      </c>
      <c r="BZ14" s="80">
        <f t="shared" ref="BZ14" si="69">SUM(BV14:BY14)</f>
        <v>0</v>
      </c>
      <c r="CA14" s="3">
        <f>'Shipment (Production)'!BX14</f>
        <v>0</v>
      </c>
      <c r="CB14" s="3">
        <f>'Shipment (Production)'!BY14</f>
        <v>0</v>
      </c>
      <c r="CC14" s="3">
        <f>'Shipment (Production)'!CA14</f>
        <v>0</v>
      </c>
      <c r="CD14" s="3">
        <f>'Shipment (Production)'!CB14</f>
        <v>0</v>
      </c>
      <c r="CE14" s="80">
        <f t="shared" ref="CE14" si="70">SUM(CA14:CD14)</f>
        <v>0</v>
      </c>
      <c r="CF14" s="3">
        <f>'Shipment (Production)'!CC14</f>
        <v>0</v>
      </c>
      <c r="CG14" s="3">
        <f>'Shipment (Production)'!CD14</f>
        <v>0</v>
      </c>
      <c r="CH14" s="3" t="str">
        <f>'Shipment (Production)'!CF14</f>
        <v> </v>
      </c>
      <c r="CI14" s="3">
        <f>'Shipment (Production)'!CG14</f>
        <v>0</v>
      </c>
      <c r="CJ14" s="80">
        <f t="shared" ref="CJ14" si="71">SUM(CF14:CI14)</f>
        <v>0</v>
      </c>
      <c r="CK14" s="3">
        <f>'Shipment (Production)'!CH14</f>
        <v>0</v>
      </c>
      <c r="CL14" s="3">
        <f>'Shipment (Production)'!CI14</f>
        <v>0</v>
      </c>
      <c r="CM14" s="3" t="str">
        <f>'Shipment (Production)'!CK14</f>
        <v> </v>
      </c>
      <c r="CN14" s="3">
        <f>'Shipment (Production)'!CL14</f>
        <v>0</v>
      </c>
      <c r="CO14" s="80">
        <f t="shared" ref="CO14" si="72">SUM(CK14:CN14)</f>
        <v>0</v>
      </c>
      <c r="CP14" s="3">
        <f>'Shipment (Production)'!CM14</f>
        <v>0</v>
      </c>
      <c r="CQ14" s="3">
        <f>'Shipment (Production)'!CN14</f>
        <v>0</v>
      </c>
      <c r="CR14" s="3" t="str">
        <f>'Shipment (Production)'!CP14</f>
        <v> </v>
      </c>
      <c r="CS14" s="3">
        <f>'Shipment (Production)'!CQ14</f>
        <v>0</v>
      </c>
      <c r="CT14" s="80">
        <f t="shared" ref="CT14" si="73">SUM(CP14:CS14)</f>
        <v>0</v>
      </c>
      <c r="CU14" s="3">
        <f>'Shipment (Production)'!CR14</f>
        <v>0</v>
      </c>
      <c r="CV14" s="3">
        <f>'Shipment (Production)'!CS14</f>
        <v>0</v>
      </c>
      <c r="CW14" s="3" t="str">
        <f>'Shipment (Production)'!CU14</f>
        <v> </v>
      </c>
      <c r="CX14" s="3">
        <f>'Shipment (Production)'!CV14</f>
        <v>0</v>
      </c>
      <c r="CY14" s="80">
        <f t="shared" ref="CY14" si="74">SUM(CU14:CX14)</f>
        <v>0</v>
      </c>
      <c r="CZ14" s="3">
        <f>'Shipment (Production)'!CW14</f>
        <v>0</v>
      </c>
      <c r="DA14" s="3">
        <f>'Shipment (Production)'!CX14</f>
        <v>0</v>
      </c>
      <c r="DB14" s="3" t="str">
        <f>'Shipment (Production)'!CZ14</f>
        <v> </v>
      </c>
      <c r="DC14" s="3">
        <f>'Shipment (Production)'!DA14</f>
        <v>0</v>
      </c>
      <c r="DD14" s="80">
        <f t="shared" ref="DD14" si="75">SUM(CZ14:DC14)</f>
        <v>0</v>
      </c>
      <c r="DE14" s="3">
        <f>'Shipment (Production)'!DB14</f>
        <v>0</v>
      </c>
      <c r="DF14" s="3">
        <f>'Shipment (Production)'!DC14</f>
        <v>0</v>
      </c>
      <c r="DG14" s="3" t="str">
        <f>'Shipment (Production)'!DE14</f>
        <v> </v>
      </c>
      <c r="DH14" s="3">
        <f>'Shipment (Production)'!DF14</f>
        <v>0</v>
      </c>
      <c r="DI14" s="80">
        <f t="shared" ref="DI14" si="76">SUM(DE14:DH14)</f>
        <v>0</v>
      </c>
      <c r="DJ14" s="3">
        <f>'Shipment (Production)'!DG14</f>
        <v>0</v>
      </c>
      <c r="DK14" s="3">
        <f>'Shipment (Production)'!DH14</f>
        <v>0</v>
      </c>
      <c r="DL14" s="3" t="str">
        <f>'Shipment (Production)'!DJ14</f>
        <v> </v>
      </c>
      <c r="DM14" s="3">
        <f>'Shipment (Production)'!DK14</f>
        <v>0</v>
      </c>
      <c r="DN14" s="80">
        <f t="shared" ref="DN14" si="77">SUM(DJ14:DM14)</f>
        <v>0</v>
      </c>
      <c r="DO14" s="3">
        <f>'Shipment (Production)'!DL14</f>
        <v>0</v>
      </c>
      <c r="DP14" s="3">
        <f>'Shipment (Production)'!DM14</f>
        <v>0</v>
      </c>
      <c r="DQ14" s="3" t="str">
        <f>'Shipment (Production)'!DO14</f>
        <v> </v>
      </c>
      <c r="DR14" s="3">
        <f>'Shipment (Production)'!DP14</f>
        <v>0</v>
      </c>
      <c r="DS14" s="80">
        <f t="shared" ref="DS14" si="78">SUM(DO14:DR14)</f>
        <v>0</v>
      </c>
      <c r="DT14" s="12">
        <f t="shared" ref="DT14" si="79">BP14+BU14+BZ14+CE14+CJ14+CO14+CT14+CY14+DD14+DI14+DN14+DS14</f>
        <v>0</v>
      </c>
      <c r="DU14" s="3">
        <f>'Shipment (Production)'!DQ14</f>
        <v>0</v>
      </c>
      <c r="DV14" s="3">
        <f>'Shipment (Production)'!DR14</f>
        <v>0</v>
      </c>
      <c r="DW14" s="3">
        <f>'Shipment (Production)'!DU14</f>
        <v>0</v>
      </c>
      <c r="DX14" s="3">
        <f>'Shipment (Production)'!DV14</f>
        <v>0</v>
      </c>
      <c r="DY14" s="80">
        <f t="shared" si="18"/>
        <v>0</v>
      </c>
      <c r="DZ14" s="3">
        <f>'Shipment (Production)'!DV14</f>
        <v>0</v>
      </c>
      <c r="EA14" s="3">
        <f>'Shipment (Production)'!DW14</f>
        <v>0</v>
      </c>
      <c r="EB14" s="3">
        <f>'Shipment (Production)'!DZ14</f>
        <v>0</v>
      </c>
      <c r="EC14" s="3">
        <f>'Shipment (Production)'!EA14</f>
        <v>0</v>
      </c>
      <c r="ED14" s="80">
        <f t="shared" si="19"/>
        <v>0</v>
      </c>
      <c r="EE14" s="3">
        <f>'Shipment (Production)'!EA14</f>
        <v>0</v>
      </c>
      <c r="EF14" s="3">
        <f>'Shipment (Production)'!EB14</f>
        <v>0</v>
      </c>
      <c r="EG14" s="3">
        <f>'Shipment (Production)'!EE14</f>
        <v>0</v>
      </c>
      <c r="EH14" s="3">
        <f>'Shipment (Production)'!EF14</f>
        <v>0</v>
      </c>
      <c r="EI14" s="80">
        <f t="shared" si="20"/>
        <v>0</v>
      </c>
      <c r="EJ14" s="3">
        <f>'Shipment (Production)'!EF14</f>
        <v>0</v>
      </c>
      <c r="EK14" s="3">
        <f>'Shipment (Production)'!EG14</f>
        <v>0</v>
      </c>
      <c r="EL14" s="3">
        <f>'Shipment (Production)'!EJ14</f>
        <v>0</v>
      </c>
      <c r="EM14" s="3">
        <f>'Shipment (Production)'!EK14</f>
        <v>0</v>
      </c>
      <c r="EN14" s="80">
        <f t="shared" si="21"/>
        <v>0</v>
      </c>
      <c r="EO14" s="3">
        <f>'Shipment (Production)'!EK14</f>
        <v>0</v>
      </c>
      <c r="EP14" s="3">
        <f>'Shipment (Production)'!EL14</f>
        <v>0</v>
      </c>
      <c r="EQ14" s="3">
        <f>'Shipment (Production)'!EO14</f>
        <v>0</v>
      </c>
      <c r="ER14" s="3">
        <f>'Shipment (Production)'!EP14</f>
        <v>0</v>
      </c>
      <c r="ES14" s="80">
        <f t="shared" si="22"/>
        <v>0</v>
      </c>
      <c r="ET14" s="3">
        <f>'Shipment (Production)'!EP14</f>
        <v>0</v>
      </c>
      <c r="EU14" s="3">
        <f>'Shipment (Production)'!EQ14</f>
        <v>0</v>
      </c>
      <c r="EV14" s="3">
        <f>'Shipment (Production)'!ET14</f>
        <v>0</v>
      </c>
      <c r="EW14" s="3">
        <f>'Shipment (Production)'!EU14</f>
        <v>0</v>
      </c>
      <c r="EX14" s="80">
        <f t="shared" si="23"/>
        <v>0</v>
      </c>
      <c r="EY14" s="3">
        <f>'Shipment (Production)'!EU14</f>
        <v>0</v>
      </c>
      <c r="EZ14" s="3">
        <f>'Shipment (Production)'!EV14</f>
        <v>0</v>
      </c>
      <c r="FA14" s="3">
        <f>'Shipment (Production)'!EY14</f>
        <v>0</v>
      </c>
      <c r="FB14" s="3">
        <f>'Shipment (Production)'!EZ14</f>
        <v>0</v>
      </c>
      <c r="FC14" s="80">
        <f t="shared" si="24"/>
        <v>0</v>
      </c>
      <c r="FD14" s="3">
        <f>'Shipment (Production)'!EZ14</f>
        <v>0</v>
      </c>
      <c r="FE14" s="3">
        <f>'Shipment (Production)'!FA14</f>
        <v>0</v>
      </c>
      <c r="FF14" s="3">
        <f>'Shipment (Production)'!FD14</f>
        <v>0</v>
      </c>
      <c r="FG14" s="3">
        <f>'Shipment (Production)'!FE14</f>
        <v>0</v>
      </c>
      <c r="FH14" s="80">
        <f t="shared" si="25"/>
        <v>0</v>
      </c>
      <c r="FI14" s="3">
        <f>'Shipment (Production)'!FE14</f>
        <v>0</v>
      </c>
      <c r="FJ14" s="3">
        <f>'Shipment (Production)'!FF14</f>
        <v>0</v>
      </c>
      <c r="FK14" s="3">
        <f>'Shipment (Production)'!FI14</f>
        <v>0</v>
      </c>
      <c r="FL14" s="3">
        <f>'Shipment (Production)'!FJ14</f>
        <v>0</v>
      </c>
      <c r="FM14" s="80">
        <f t="shared" si="26"/>
        <v>0</v>
      </c>
      <c r="FN14" s="3">
        <f>'Shipment (Production)'!FJ14</f>
        <v>0</v>
      </c>
      <c r="FO14" s="3">
        <f>'Shipment (Production)'!FK14</f>
        <v>0</v>
      </c>
      <c r="FP14" s="3">
        <f>'Shipment (Production)'!FN14</f>
        <v>0</v>
      </c>
      <c r="FQ14" s="3">
        <f>'Shipment (Production)'!FO14</f>
        <v>0</v>
      </c>
      <c r="FR14" s="80">
        <f t="shared" si="27"/>
        <v>0</v>
      </c>
      <c r="FS14" s="3">
        <f>'Shipment (Production)'!FO14</f>
        <v>0</v>
      </c>
      <c r="FT14" s="3">
        <f>'Shipment (Production)'!FP14</f>
        <v>0</v>
      </c>
      <c r="FU14" s="3">
        <f>'Shipment (Production)'!FS14</f>
        <v>0</v>
      </c>
      <c r="FV14" s="3">
        <f>'Shipment (Production)'!FT14</f>
        <v>0</v>
      </c>
      <c r="FW14" s="80">
        <f t="shared" si="28"/>
        <v>0</v>
      </c>
      <c r="FX14" s="3">
        <f>'Shipment (Production)'!FT14</f>
        <v>0</v>
      </c>
      <c r="FY14" s="3">
        <f>'Shipment (Production)'!FU14</f>
        <v>0</v>
      </c>
      <c r="FZ14" s="3">
        <f>'Shipment (Production)'!FX14</f>
        <v>0</v>
      </c>
      <c r="GA14" s="3">
        <f>'Shipment (Production)'!FY14</f>
        <v>0</v>
      </c>
      <c r="GB14" s="80">
        <f t="shared" si="29"/>
        <v>0</v>
      </c>
      <c r="GC14" s="12">
        <f t="shared" si="30"/>
        <v>0</v>
      </c>
    </row>
    <row r="15" spans="1:185" x14ac:dyDescent="0.35">
      <c r="A15" s="1" t="s">
        <v>16</v>
      </c>
      <c r="B15" s="1" t="s">
        <v>21</v>
      </c>
      <c r="G15" s="80">
        <v>0</v>
      </c>
      <c r="H15" s="3">
        <v>0</v>
      </c>
      <c r="I15" s="3">
        <v>0</v>
      </c>
      <c r="J15" s="3">
        <v>0</v>
      </c>
      <c r="K15" s="3">
        <v>0</v>
      </c>
      <c r="L15" s="80">
        <v>0</v>
      </c>
      <c r="M15" s="3">
        <v>0</v>
      </c>
      <c r="N15" s="3">
        <v>0</v>
      </c>
      <c r="O15" s="3">
        <v>0</v>
      </c>
      <c r="P15" s="3">
        <v>0</v>
      </c>
      <c r="Q15" s="80">
        <v>174</v>
      </c>
      <c r="R15" s="3">
        <v>0</v>
      </c>
      <c r="S15" s="3">
        <v>0</v>
      </c>
      <c r="T15" s="3">
        <v>0</v>
      </c>
      <c r="U15" s="3">
        <v>0</v>
      </c>
      <c r="V15" s="80">
        <v>0</v>
      </c>
      <c r="W15" s="3">
        <v>0</v>
      </c>
      <c r="X15" s="3">
        <v>0</v>
      </c>
      <c r="Y15" s="3">
        <v>0</v>
      </c>
      <c r="Z15" s="3">
        <v>0</v>
      </c>
      <c r="AA15" s="80">
        <v>0</v>
      </c>
      <c r="AB15" s="3">
        <v>0</v>
      </c>
      <c r="AC15" s="3">
        <v>0</v>
      </c>
      <c r="AD15" s="3">
        <v>0</v>
      </c>
      <c r="AE15" s="3">
        <v>0</v>
      </c>
      <c r="AF15" s="80">
        <v>0</v>
      </c>
      <c r="AG15" s="3">
        <v>0</v>
      </c>
      <c r="AH15" s="3">
        <v>0</v>
      </c>
      <c r="AI15" s="3">
        <v>0</v>
      </c>
      <c r="AJ15" s="3">
        <v>0</v>
      </c>
      <c r="AK15" s="80">
        <v>0</v>
      </c>
      <c r="AL15" s="3"/>
      <c r="AM15" s="3"/>
      <c r="AN15" s="3"/>
      <c r="AO15" s="3"/>
      <c r="AP15" s="80">
        <v>0</v>
      </c>
      <c r="AQ15" s="3"/>
      <c r="AR15" s="3"/>
      <c r="AS15" s="3"/>
      <c r="AT15" s="87">
        <v>163</v>
      </c>
      <c r="AU15" s="80">
        <f t="shared" si="0"/>
        <v>163</v>
      </c>
      <c r="AV15" s="3"/>
      <c r="AW15" s="3"/>
      <c r="AX15" s="3"/>
      <c r="AY15" s="3">
        <v>0</v>
      </c>
      <c r="AZ15" s="80">
        <f t="shared" ref="AZ15:AZ32" si="80">SUM(AV15:AY15)</f>
        <v>0</v>
      </c>
      <c r="BA15" s="3"/>
      <c r="BB15" s="3"/>
      <c r="BC15" s="3"/>
      <c r="BD15" s="129">
        <v>0</v>
      </c>
      <c r="BE15" s="80">
        <f t="shared" ref="BE15:BE23" si="81">SUM(BA15:BD15)</f>
        <v>0</v>
      </c>
      <c r="BF15" s="3"/>
      <c r="BG15" s="3"/>
      <c r="BH15" s="129">
        <v>0</v>
      </c>
      <c r="BI15" s="114">
        <f>'Shipment (Production)'!BG15</f>
        <v>0</v>
      </c>
      <c r="BJ15" s="80">
        <f t="shared" ref="BJ15:BJ23" si="82">SUM(BF15:BI15)</f>
        <v>0</v>
      </c>
      <c r="BK15" s="12">
        <f t="shared" si="35"/>
        <v>337</v>
      </c>
      <c r="BL15" s="84">
        <f>'Shipment (Production)'!BI15</f>
        <v>0</v>
      </c>
      <c r="BM15" s="3"/>
      <c r="BN15" s="3">
        <v>284</v>
      </c>
      <c r="BO15" s="3"/>
      <c r="BP15" s="80">
        <f t="shared" ref="BP15:BP32" si="83">SUM(BL15:BO15)</f>
        <v>284</v>
      </c>
      <c r="BQ15" s="3"/>
      <c r="BR15" s="3">
        <f>'Shipment (Production)'!BO15</f>
        <v>0</v>
      </c>
      <c r="BS15" s="3">
        <f>'Shipment (Production)'!BQ15</f>
        <v>0</v>
      </c>
      <c r="BT15" s="3">
        <f>'Shipment (Production)'!BR15</f>
        <v>0</v>
      </c>
      <c r="BU15" s="80">
        <f t="shared" ref="BU15:BU23" si="84">SUM(BQ15:BT15)</f>
        <v>0</v>
      </c>
      <c r="BV15" s="3">
        <f>'Shipment (Production)'!BS15</f>
        <v>0</v>
      </c>
      <c r="BW15" s="3">
        <f>'Shipment (Production)'!BT15</f>
        <v>0</v>
      </c>
      <c r="BX15" s="3">
        <f>'Shipment (Production)'!BW15</f>
        <v>100</v>
      </c>
      <c r="BY15" s="3">
        <f>'Shipment (Production)'!BX15</f>
        <v>0</v>
      </c>
      <c r="BZ15" s="80">
        <f t="shared" ref="BZ15:BZ23" si="85">SUM(BV15:BY15)</f>
        <v>100</v>
      </c>
      <c r="CA15" s="3">
        <f>'Shipment (Production)'!BX15</f>
        <v>0</v>
      </c>
      <c r="CB15" s="3">
        <f>'Shipment (Production)'!BY15</f>
        <v>0</v>
      </c>
      <c r="CC15" s="3">
        <f>'Shipment (Production)'!CA15</f>
        <v>0</v>
      </c>
      <c r="CD15" s="3" t="str">
        <f>'Shipment (Production)'!CB15</f>
        <v>x`</v>
      </c>
      <c r="CE15" s="80">
        <f t="shared" ref="CE15:CE24" si="86">SUM(CA15:CD15)</f>
        <v>0</v>
      </c>
      <c r="CF15" s="3">
        <f>'Shipment (Production)'!CC15</f>
        <v>0</v>
      </c>
      <c r="CG15" s="3">
        <f>'Shipment (Production)'!CD15</f>
        <v>0</v>
      </c>
      <c r="CH15" s="3">
        <f>'Shipment (Production)'!CF15</f>
        <v>0</v>
      </c>
      <c r="CI15" s="3">
        <f>'Shipment (Production)'!CG15</f>
        <v>0</v>
      </c>
      <c r="CJ15" s="80">
        <f t="shared" ref="CJ15:CJ23" si="87">SUM(CF15:CI15)</f>
        <v>0</v>
      </c>
      <c r="CK15" s="3">
        <f>'Shipment (Production)'!CH15</f>
        <v>0</v>
      </c>
      <c r="CL15" s="3">
        <f>'Shipment (Production)'!CI15</f>
        <v>0</v>
      </c>
      <c r="CM15" s="3">
        <f>'Shipment (Production)'!CK15</f>
        <v>0</v>
      </c>
      <c r="CN15" s="3">
        <f>'Shipment (Production)'!CL15</f>
        <v>0</v>
      </c>
      <c r="CO15" s="80">
        <f t="shared" ref="CO15:CO23" si="88">SUM(CK15:CN15)</f>
        <v>0</v>
      </c>
      <c r="CP15" s="3">
        <f>'Shipment (Production)'!CM15</f>
        <v>0</v>
      </c>
      <c r="CQ15" s="3">
        <f>'Shipment (Production)'!CN15</f>
        <v>0</v>
      </c>
      <c r="CR15" s="3">
        <f>'Shipment (Production)'!CP15</f>
        <v>0</v>
      </c>
      <c r="CS15" s="3">
        <f>'Shipment (Production)'!CQ15</f>
        <v>0</v>
      </c>
      <c r="CT15" s="80">
        <f t="shared" ref="CT15:CT23" si="89">SUM(CP15:CS15)</f>
        <v>0</v>
      </c>
      <c r="CU15" s="3">
        <f>'Shipment (Production)'!CR15</f>
        <v>220</v>
      </c>
      <c r="CV15" s="3">
        <f>'Shipment (Production)'!CS15</f>
        <v>0</v>
      </c>
      <c r="CW15" s="3">
        <f>'Shipment (Production)'!CU15</f>
        <v>0</v>
      </c>
      <c r="CX15" s="3">
        <f>'Shipment (Production)'!CV15</f>
        <v>0</v>
      </c>
      <c r="CY15" s="80">
        <f t="shared" ref="CY15:CY23" si="90">SUM(CU15:CX15)</f>
        <v>220</v>
      </c>
      <c r="CZ15" s="3">
        <f>'Shipment (Production)'!CW15</f>
        <v>0</v>
      </c>
      <c r="DA15" s="3">
        <f>'Shipment (Production)'!CX15</f>
        <v>0</v>
      </c>
      <c r="DB15" s="3">
        <f>'Shipment (Production)'!CZ15</f>
        <v>0</v>
      </c>
      <c r="DC15" s="3">
        <f>'Shipment (Production)'!DA15</f>
        <v>0</v>
      </c>
      <c r="DD15" s="80">
        <f t="shared" ref="DD15:DD23" si="91">SUM(CZ15:DC15)</f>
        <v>0</v>
      </c>
      <c r="DE15" s="3">
        <f>'Shipment (Production)'!DB15</f>
        <v>0</v>
      </c>
      <c r="DF15" s="3">
        <f>'Shipment (Production)'!DC15</f>
        <v>0</v>
      </c>
      <c r="DG15" s="3">
        <f>'Shipment (Production)'!DE15</f>
        <v>0</v>
      </c>
      <c r="DH15" s="3">
        <f>'Shipment (Production)'!DF15</f>
        <v>0</v>
      </c>
      <c r="DI15" s="80">
        <f t="shared" ref="DI15:DI23" si="92">SUM(DE15:DH15)</f>
        <v>0</v>
      </c>
      <c r="DJ15" s="3">
        <f>'Shipment (Production)'!DG15</f>
        <v>0</v>
      </c>
      <c r="DK15" s="3">
        <f>'Shipment (Production)'!DH15</f>
        <v>0</v>
      </c>
      <c r="DL15" s="3">
        <f>'Shipment (Production)'!DJ15</f>
        <v>0</v>
      </c>
      <c r="DM15" s="3">
        <f>'Shipment (Production)'!DK15</f>
        <v>0</v>
      </c>
      <c r="DN15" s="80">
        <f t="shared" ref="DN15:DN23" si="93">SUM(DJ15:DM15)</f>
        <v>0</v>
      </c>
      <c r="DO15" s="3">
        <f>'Shipment (Production)'!DL15</f>
        <v>0</v>
      </c>
      <c r="DP15" s="3">
        <f>'Shipment (Production)'!DM15</f>
        <v>0</v>
      </c>
      <c r="DQ15" s="3">
        <f>'Shipment (Production)'!DO15</f>
        <v>0</v>
      </c>
      <c r="DR15" s="3">
        <f>'Shipment (Production)'!DP15</f>
        <v>0</v>
      </c>
      <c r="DS15" s="80">
        <f t="shared" ref="DS15:DS23" si="94">SUM(DO15:DR15)</f>
        <v>0</v>
      </c>
      <c r="DT15" s="12">
        <f t="shared" si="48"/>
        <v>604</v>
      </c>
      <c r="DU15" s="3">
        <f>'Shipment (Production)'!DQ15</f>
        <v>0</v>
      </c>
      <c r="DV15" s="3">
        <f>'Shipment (Production)'!DR15</f>
        <v>0</v>
      </c>
      <c r="DW15" s="3">
        <f>'Shipment (Production)'!DU15</f>
        <v>150</v>
      </c>
      <c r="DX15" s="3">
        <f>'Shipment (Production)'!DV15</f>
        <v>0</v>
      </c>
      <c r="DY15" s="80">
        <f t="shared" si="18"/>
        <v>150</v>
      </c>
      <c r="DZ15" s="3">
        <f>'Shipment (Production)'!DV15</f>
        <v>0</v>
      </c>
      <c r="EA15" s="3">
        <f>'Shipment (Production)'!DW15</f>
        <v>0</v>
      </c>
      <c r="EB15" s="3">
        <f>'Shipment (Production)'!DZ15</f>
        <v>75</v>
      </c>
      <c r="EC15" s="3">
        <f>'Shipment (Production)'!EA15</f>
        <v>0</v>
      </c>
      <c r="ED15" s="80">
        <f t="shared" si="19"/>
        <v>75</v>
      </c>
      <c r="EE15" s="3">
        <f>'Shipment (Production)'!EA15</f>
        <v>0</v>
      </c>
      <c r="EF15" s="3">
        <f>'Shipment (Production)'!EB15</f>
        <v>0</v>
      </c>
      <c r="EG15" s="3">
        <f>'Shipment (Production)'!EE15</f>
        <v>51</v>
      </c>
      <c r="EH15" s="3">
        <f>'Shipment (Production)'!EF15</f>
        <v>0</v>
      </c>
      <c r="EI15" s="80">
        <f t="shared" si="20"/>
        <v>51</v>
      </c>
      <c r="EJ15" s="3">
        <f>'Shipment (Production)'!EF15</f>
        <v>0</v>
      </c>
      <c r="EK15" s="3">
        <f>'Shipment (Production)'!EG15</f>
        <v>0</v>
      </c>
      <c r="EL15" s="3">
        <f>'Shipment (Production)'!EJ15</f>
        <v>61.2</v>
      </c>
      <c r="EM15" s="3">
        <f>'Shipment (Production)'!EK15</f>
        <v>0</v>
      </c>
      <c r="EN15" s="80">
        <f t="shared" si="21"/>
        <v>61.2</v>
      </c>
      <c r="EO15" s="3">
        <f>'Shipment (Production)'!EK15</f>
        <v>0</v>
      </c>
      <c r="EP15" s="3">
        <f>'Shipment (Production)'!EL15</f>
        <v>0</v>
      </c>
      <c r="EQ15" s="3">
        <f>'Shipment (Production)'!EO15</f>
        <v>61.2</v>
      </c>
      <c r="ER15" s="3">
        <f>'Shipment (Production)'!EP15</f>
        <v>0</v>
      </c>
      <c r="ES15" s="80">
        <f t="shared" si="22"/>
        <v>61.2</v>
      </c>
      <c r="ET15" s="3">
        <f>'Shipment (Production)'!EP15</f>
        <v>0</v>
      </c>
      <c r="EU15" s="3">
        <f>'Shipment (Production)'!EQ15</f>
        <v>0</v>
      </c>
      <c r="EV15" s="3">
        <f>'Shipment (Production)'!ET15</f>
        <v>61.2</v>
      </c>
      <c r="EW15" s="3">
        <f>'Shipment (Production)'!EU15</f>
        <v>0</v>
      </c>
      <c r="EX15" s="80">
        <f t="shared" si="23"/>
        <v>61.2</v>
      </c>
      <c r="EY15" s="3">
        <f>'Shipment (Production)'!EU15</f>
        <v>0</v>
      </c>
      <c r="EZ15" s="3">
        <f>'Shipment (Production)'!EV15</f>
        <v>0</v>
      </c>
      <c r="FA15" s="3">
        <f>'Shipment (Production)'!EY15</f>
        <v>61.2</v>
      </c>
      <c r="FB15" s="3">
        <f>'Shipment (Production)'!EZ15</f>
        <v>0</v>
      </c>
      <c r="FC15" s="80">
        <f t="shared" si="24"/>
        <v>61.2</v>
      </c>
      <c r="FD15" s="3">
        <f>'Shipment (Production)'!EZ15</f>
        <v>0</v>
      </c>
      <c r="FE15" s="3">
        <f>'Shipment (Production)'!FA15</f>
        <v>0</v>
      </c>
      <c r="FF15" s="3">
        <f>'Shipment (Production)'!FD15</f>
        <v>61.2</v>
      </c>
      <c r="FG15" s="3">
        <f>'Shipment (Production)'!FE15</f>
        <v>0</v>
      </c>
      <c r="FH15" s="80">
        <f t="shared" si="25"/>
        <v>61.2</v>
      </c>
      <c r="FI15" s="3">
        <f>'Shipment (Production)'!FE15</f>
        <v>0</v>
      </c>
      <c r="FJ15" s="3">
        <f>'Shipment (Production)'!FF15</f>
        <v>0</v>
      </c>
      <c r="FK15" s="3">
        <f>'Shipment (Production)'!FI15</f>
        <v>30.6</v>
      </c>
      <c r="FL15" s="3">
        <f>'Shipment (Production)'!FJ15</f>
        <v>0</v>
      </c>
      <c r="FM15" s="80">
        <f t="shared" si="26"/>
        <v>30.6</v>
      </c>
      <c r="FN15" s="3">
        <f>'Shipment (Production)'!FJ15</f>
        <v>0</v>
      </c>
      <c r="FO15" s="3">
        <f>'Shipment (Production)'!FK15</f>
        <v>0</v>
      </c>
      <c r="FP15" s="3">
        <f>'Shipment (Production)'!FN15</f>
        <v>30.6</v>
      </c>
      <c r="FQ15" s="3">
        <f>'Shipment (Production)'!FO15</f>
        <v>0</v>
      </c>
      <c r="FR15" s="80">
        <f t="shared" si="27"/>
        <v>30.6</v>
      </c>
      <c r="FS15" s="3">
        <f>'Shipment (Production)'!FO15</f>
        <v>0</v>
      </c>
      <c r="FT15" s="3">
        <f>'Shipment (Production)'!FP15</f>
        <v>0</v>
      </c>
      <c r="FU15" s="3">
        <f>'Shipment (Production)'!FS15</f>
        <v>30.6</v>
      </c>
      <c r="FV15" s="3">
        <f>'Shipment (Production)'!FT15</f>
        <v>0</v>
      </c>
      <c r="FW15" s="80">
        <f t="shared" si="28"/>
        <v>30.6</v>
      </c>
      <c r="FX15" s="3">
        <f>'Shipment (Production)'!FT15</f>
        <v>0</v>
      </c>
      <c r="FY15" s="3">
        <f>'Shipment (Production)'!FU15</f>
        <v>0</v>
      </c>
      <c r="FZ15" s="3">
        <f>'Shipment (Production)'!FX15</f>
        <v>30.6</v>
      </c>
      <c r="GA15" s="3">
        <f>'Shipment (Production)'!FY15</f>
        <v>0</v>
      </c>
      <c r="GB15" s="80">
        <f t="shared" si="29"/>
        <v>30.6</v>
      </c>
      <c r="GC15" s="12">
        <f t="shared" si="30"/>
        <v>704.4</v>
      </c>
    </row>
    <row r="16" spans="1:185" x14ac:dyDescent="0.35">
      <c r="A16" s="1" t="s">
        <v>16</v>
      </c>
      <c r="B16" s="1" t="s">
        <v>22</v>
      </c>
      <c r="G16" s="80">
        <v>0</v>
      </c>
      <c r="H16" s="3">
        <v>0</v>
      </c>
      <c r="I16" s="3">
        <v>0</v>
      </c>
      <c r="J16" s="3">
        <v>0</v>
      </c>
      <c r="K16" s="3">
        <v>0</v>
      </c>
      <c r="L16" s="80">
        <v>0</v>
      </c>
      <c r="M16" s="3">
        <v>0</v>
      </c>
      <c r="N16" s="3">
        <v>0</v>
      </c>
      <c r="O16" s="3">
        <v>0</v>
      </c>
      <c r="P16" s="3">
        <v>0</v>
      </c>
      <c r="Q16" s="80">
        <v>0</v>
      </c>
      <c r="R16" s="3">
        <v>0</v>
      </c>
      <c r="S16" s="3">
        <v>0</v>
      </c>
      <c r="T16" s="3">
        <v>0</v>
      </c>
      <c r="U16" s="3">
        <v>0</v>
      </c>
      <c r="V16" s="80">
        <v>0</v>
      </c>
      <c r="W16" s="3">
        <v>0</v>
      </c>
      <c r="X16" s="3">
        <v>0</v>
      </c>
      <c r="Y16" s="3">
        <v>0</v>
      </c>
      <c r="Z16" s="3">
        <v>0</v>
      </c>
      <c r="AA16" s="80">
        <v>0</v>
      </c>
      <c r="AB16" s="3">
        <v>0</v>
      </c>
      <c r="AC16" s="3">
        <v>0</v>
      </c>
      <c r="AD16" s="3">
        <v>0</v>
      </c>
      <c r="AE16" s="3">
        <v>0</v>
      </c>
      <c r="AF16" s="80">
        <v>0</v>
      </c>
      <c r="AG16" s="3">
        <v>0</v>
      </c>
      <c r="AH16" s="3">
        <v>0</v>
      </c>
      <c r="AI16" s="3">
        <v>0</v>
      </c>
      <c r="AJ16" s="3">
        <v>0</v>
      </c>
      <c r="AK16" s="80">
        <v>0</v>
      </c>
      <c r="AL16" s="3"/>
      <c r="AM16" s="3"/>
      <c r="AN16" s="3"/>
      <c r="AO16" s="3"/>
      <c r="AP16" s="80">
        <v>0</v>
      </c>
      <c r="AQ16" s="3"/>
      <c r="AR16" s="3"/>
      <c r="AS16" s="3"/>
      <c r="AT16" s="87">
        <v>0</v>
      </c>
      <c r="AU16" s="80">
        <f t="shared" si="0"/>
        <v>0</v>
      </c>
      <c r="AV16" s="3">
        <f>'Shipment (Production)'!AS16</f>
        <v>0</v>
      </c>
      <c r="AW16" s="3">
        <f>'Shipment (Production)'!AT16</f>
        <v>0</v>
      </c>
      <c r="AX16" s="3">
        <f>'Shipment (Production)'!AV16</f>
        <v>0</v>
      </c>
      <c r="AY16" s="3">
        <v>0</v>
      </c>
      <c r="AZ16" s="80">
        <f t="shared" si="80"/>
        <v>0</v>
      </c>
      <c r="BA16" s="3"/>
      <c r="BB16" s="3"/>
      <c r="BC16" s="3"/>
      <c r="BD16" s="129">
        <v>0</v>
      </c>
      <c r="BE16" s="80">
        <f t="shared" si="81"/>
        <v>0</v>
      </c>
      <c r="BF16" s="3"/>
      <c r="BG16" s="3"/>
      <c r="BH16" s="129">
        <v>0</v>
      </c>
      <c r="BI16" s="114">
        <f>'Shipment (Production)'!BG16</f>
        <v>0</v>
      </c>
      <c r="BJ16" s="80">
        <f t="shared" si="82"/>
        <v>0</v>
      </c>
      <c r="BK16" s="12">
        <f t="shared" si="35"/>
        <v>0</v>
      </c>
      <c r="BL16" s="84">
        <f>'Shipment (Production)'!BI16</f>
        <v>0</v>
      </c>
      <c r="BM16" s="3"/>
      <c r="BN16" s="3" t="str">
        <f>'Shipment (Production)'!BL16</f>
        <v> </v>
      </c>
      <c r="BO16" s="3">
        <f>'Shipment (Production)'!BN16</f>
        <v>0</v>
      </c>
      <c r="BP16" s="80">
        <f t="shared" si="83"/>
        <v>0</v>
      </c>
      <c r="BQ16" s="3">
        <f>'Shipment (Production)'!BN16</f>
        <v>0</v>
      </c>
      <c r="BR16" s="3">
        <f>'Shipment (Production)'!BO16</f>
        <v>0</v>
      </c>
      <c r="BS16" s="3" t="str">
        <f>'Shipment (Production)'!BQ16</f>
        <v> </v>
      </c>
      <c r="BT16" s="3">
        <f>'Shipment (Production)'!BR16</f>
        <v>0</v>
      </c>
      <c r="BU16" s="80">
        <f t="shared" si="84"/>
        <v>0</v>
      </c>
      <c r="BV16" s="3">
        <f>'Shipment (Production)'!BS16</f>
        <v>0</v>
      </c>
      <c r="BW16" s="3">
        <f>'Shipment (Production)'!BT16</f>
        <v>0</v>
      </c>
      <c r="BX16" s="3" t="str">
        <f>'Shipment (Production)'!BV16</f>
        <v> </v>
      </c>
      <c r="BY16" s="3">
        <f>'Shipment (Production)'!BW16</f>
        <v>0</v>
      </c>
      <c r="BZ16" s="80">
        <f t="shared" si="85"/>
        <v>0</v>
      </c>
      <c r="CA16" s="3">
        <f>'Shipment (Production)'!BX16</f>
        <v>0</v>
      </c>
      <c r="CB16" s="3">
        <f>'Shipment (Production)'!BY16</f>
        <v>0</v>
      </c>
      <c r="CC16" s="3">
        <f>'Shipment (Production)'!CA16</f>
        <v>0</v>
      </c>
      <c r="CD16" s="3">
        <f>'Shipment (Production)'!CB16</f>
        <v>0</v>
      </c>
      <c r="CE16" s="80">
        <f t="shared" si="86"/>
        <v>0</v>
      </c>
      <c r="CF16" s="3" t="str">
        <f>'Shipment (Production)'!CC16</f>
        <v> </v>
      </c>
      <c r="CG16" s="3">
        <f>'Shipment (Production)'!CD16</f>
        <v>0</v>
      </c>
      <c r="CH16" s="3">
        <f>'Shipment (Production)'!CF16</f>
        <v>0</v>
      </c>
      <c r="CI16" s="3">
        <f>'Shipment (Production)'!CG16</f>
        <v>0</v>
      </c>
      <c r="CJ16" s="80">
        <f t="shared" si="87"/>
        <v>0</v>
      </c>
      <c r="CK16" s="3" t="str">
        <f>'Shipment (Production)'!CH16</f>
        <v> </v>
      </c>
      <c r="CL16" s="3">
        <f>'Shipment (Production)'!CI16</f>
        <v>0</v>
      </c>
      <c r="CM16" s="3">
        <f>'Shipment (Production)'!CK16</f>
        <v>0</v>
      </c>
      <c r="CN16" s="3">
        <f>'Shipment (Production)'!CL16</f>
        <v>0</v>
      </c>
      <c r="CO16" s="80">
        <f t="shared" si="88"/>
        <v>0</v>
      </c>
      <c r="CP16" s="3" t="str">
        <f>'Shipment (Production)'!CM16</f>
        <v> </v>
      </c>
      <c r="CQ16" s="3">
        <f>'Shipment (Production)'!CN16</f>
        <v>0</v>
      </c>
      <c r="CR16" s="3">
        <f>'Shipment (Production)'!CP16</f>
        <v>0</v>
      </c>
      <c r="CS16" s="3">
        <f>'Shipment (Production)'!CQ16</f>
        <v>0</v>
      </c>
      <c r="CT16" s="80">
        <f t="shared" si="89"/>
        <v>0</v>
      </c>
      <c r="CU16" s="3" t="str">
        <f>'Shipment (Production)'!CR16</f>
        <v> </v>
      </c>
      <c r="CV16" s="3">
        <f>'Shipment (Production)'!CS16</f>
        <v>0</v>
      </c>
      <c r="CW16" s="3" t="str">
        <f>'Shipment (Production)'!CU16</f>
        <v> </v>
      </c>
      <c r="CX16" s="3">
        <f>'Shipment (Production)'!CV16</f>
        <v>0</v>
      </c>
      <c r="CY16" s="80">
        <f t="shared" si="90"/>
        <v>0</v>
      </c>
      <c r="CZ16" s="3">
        <f>'Shipment (Production)'!CW16</f>
        <v>0</v>
      </c>
      <c r="DA16" s="3">
        <f>'Shipment (Production)'!CX16</f>
        <v>0</v>
      </c>
      <c r="DB16" s="3">
        <f>'Shipment (Production)'!CZ16</f>
        <v>0</v>
      </c>
      <c r="DC16" s="3">
        <f>'Shipment (Production)'!DA16</f>
        <v>0</v>
      </c>
      <c r="DD16" s="80">
        <f t="shared" si="91"/>
        <v>0</v>
      </c>
      <c r="DE16" s="3" t="str">
        <f>'Shipment (Production)'!DB16</f>
        <v> </v>
      </c>
      <c r="DF16" s="3">
        <f>'Shipment (Production)'!DC16</f>
        <v>0</v>
      </c>
      <c r="DG16" s="3" t="str">
        <f>'Shipment (Production)'!DE16</f>
        <v> </v>
      </c>
      <c r="DH16" s="3">
        <f>'Shipment (Production)'!DF16</f>
        <v>0</v>
      </c>
      <c r="DI16" s="80">
        <f t="shared" si="92"/>
        <v>0</v>
      </c>
      <c r="DJ16" s="3">
        <f>'Shipment (Production)'!DG16</f>
        <v>0</v>
      </c>
      <c r="DK16" s="3">
        <f>'Shipment (Production)'!DH16</f>
        <v>0</v>
      </c>
      <c r="DL16" s="3">
        <f>'Shipment (Production)'!DJ16</f>
        <v>0</v>
      </c>
      <c r="DM16" s="3">
        <f>'Shipment (Production)'!DK16</f>
        <v>0</v>
      </c>
      <c r="DN16" s="80">
        <f t="shared" si="93"/>
        <v>0</v>
      </c>
      <c r="DO16" s="3" t="str">
        <f>'Shipment (Production)'!DL16</f>
        <v> </v>
      </c>
      <c r="DP16" s="3">
        <f>'Shipment (Production)'!DM16</f>
        <v>0</v>
      </c>
      <c r="DQ16" s="3" t="str">
        <f>'Shipment (Production)'!DO16</f>
        <v> </v>
      </c>
      <c r="DR16" s="3">
        <f>'Shipment (Production)'!DP16</f>
        <v>0</v>
      </c>
      <c r="DS16" s="80">
        <f t="shared" si="94"/>
        <v>0</v>
      </c>
      <c r="DT16" s="12">
        <f t="shared" si="48"/>
        <v>0</v>
      </c>
      <c r="DU16" s="3">
        <f>'Shipment (Production)'!DQ16</f>
        <v>0</v>
      </c>
      <c r="DV16" s="3">
        <f>'Shipment (Production)'!DR16</f>
        <v>0</v>
      </c>
      <c r="DW16" s="3">
        <f>'Shipment (Production)'!DU16</f>
        <v>0</v>
      </c>
      <c r="DX16" s="3">
        <f>'Shipment (Production)'!DV16</f>
        <v>0</v>
      </c>
      <c r="DY16" s="80">
        <f t="shared" si="18"/>
        <v>0</v>
      </c>
      <c r="DZ16" s="3">
        <f>'Shipment (Production)'!DV16</f>
        <v>0</v>
      </c>
      <c r="EA16" s="3">
        <f>'Shipment (Production)'!DW16</f>
        <v>0</v>
      </c>
      <c r="EB16" s="3">
        <f>'Shipment (Production)'!DZ16</f>
        <v>0</v>
      </c>
      <c r="EC16" s="3">
        <f>'Shipment (Production)'!EA16</f>
        <v>0</v>
      </c>
      <c r="ED16" s="80">
        <f t="shared" si="19"/>
        <v>0</v>
      </c>
      <c r="EE16" s="3">
        <f>'Shipment (Production)'!EA16</f>
        <v>0</v>
      </c>
      <c r="EF16" s="3">
        <f>'Shipment (Production)'!EB16</f>
        <v>0</v>
      </c>
      <c r="EG16" s="3">
        <f>'Shipment (Production)'!EE16</f>
        <v>0</v>
      </c>
      <c r="EH16" s="3">
        <f>'Shipment (Production)'!EF16</f>
        <v>0</v>
      </c>
      <c r="EI16" s="80">
        <f t="shared" si="20"/>
        <v>0</v>
      </c>
      <c r="EJ16" s="3">
        <f>'Shipment (Production)'!EF16</f>
        <v>0</v>
      </c>
      <c r="EK16" s="3">
        <f>'Shipment (Production)'!EG16</f>
        <v>0</v>
      </c>
      <c r="EL16" s="3">
        <f>'Shipment (Production)'!EJ16</f>
        <v>0</v>
      </c>
      <c r="EM16" s="3">
        <f>'Shipment (Production)'!EK16</f>
        <v>0</v>
      </c>
      <c r="EN16" s="80">
        <f t="shared" si="21"/>
        <v>0</v>
      </c>
      <c r="EO16" s="3">
        <f>'Shipment (Production)'!EK16</f>
        <v>0</v>
      </c>
      <c r="EP16" s="3">
        <f>'Shipment (Production)'!EL16</f>
        <v>0</v>
      </c>
      <c r="EQ16" s="3">
        <f>'Shipment (Production)'!EO16</f>
        <v>0</v>
      </c>
      <c r="ER16" s="3">
        <f>'Shipment (Production)'!EP16</f>
        <v>0</v>
      </c>
      <c r="ES16" s="80">
        <f t="shared" si="22"/>
        <v>0</v>
      </c>
      <c r="ET16" s="3">
        <f>'Shipment (Production)'!EP16</f>
        <v>0</v>
      </c>
      <c r="EU16" s="3">
        <f>'Shipment (Production)'!EQ16</f>
        <v>0</v>
      </c>
      <c r="EV16" s="3">
        <f>'Shipment (Production)'!ET16</f>
        <v>0</v>
      </c>
      <c r="EW16" s="3">
        <f>'Shipment (Production)'!EU16</f>
        <v>0</v>
      </c>
      <c r="EX16" s="80">
        <f t="shared" si="23"/>
        <v>0</v>
      </c>
      <c r="EY16" s="3">
        <f>'Shipment (Production)'!EU16</f>
        <v>0</v>
      </c>
      <c r="EZ16" s="3">
        <f>'Shipment (Production)'!EV16</f>
        <v>0</v>
      </c>
      <c r="FA16" s="3">
        <f>'Shipment (Production)'!EY16</f>
        <v>0</v>
      </c>
      <c r="FB16" s="3">
        <f>'Shipment (Production)'!EZ16</f>
        <v>0</v>
      </c>
      <c r="FC16" s="80">
        <f t="shared" si="24"/>
        <v>0</v>
      </c>
      <c r="FD16" s="3">
        <f>'Shipment (Production)'!EZ16</f>
        <v>0</v>
      </c>
      <c r="FE16" s="3">
        <f>'Shipment (Production)'!FA16</f>
        <v>0</v>
      </c>
      <c r="FF16" s="3">
        <f>'Shipment (Production)'!FD16</f>
        <v>0</v>
      </c>
      <c r="FG16" s="3">
        <f>'Shipment (Production)'!FE16</f>
        <v>0</v>
      </c>
      <c r="FH16" s="80">
        <f t="shared" si="25"/>
        <v>0</v>
      </c>
      <c r="FI16" s="3">
        <f>'Shipment (Production)'!FE16</f>
        <v>0</v>
      </c>
      <c r="FJ16" s="3">
        <f>'Shipment (Production)'!FF16</f>
        <v>0</v>
      </c>
      <c r="FK16" s="3">
        <f>'Shipment (Production)'!FI16</f>
        <v>0</v>
      </c>
      <c r="FL16" s="3">
        <f>'Shipment (Production)'!FJ16</f>
        <v>0</v>
      </c>
      <c r="FM16" s="80">
        <f t="shared" si="26"/>
        <v>0</v>
      </c>
      <c r="FN16" s="3">
        <f>'Shipment (Production)'!FJ16</f>
        <v>0</v>
      </c>
      <c r="FO16" s="3">
        <f>'Shipment (Production)'!FK16</f>
        <v>0</v>
      </c>
      <c r="FP16" s="3">
        <f>'Shipment (Production)'!FN16</f>
        <v>0</v>
      </c>
      <c r="FQ16" s="3">
        <f>'Shipment (Production)'!FO16</f>
        <v>0</v>
      </c>
      <c r="FR16" s="80">
        <f t="shared" si="27"/>
        <v>0</v>
      </c>
      <c r="FS16" s="3">
        <f>'Shipment (Production)'!FO16</f>
        <v>0</v>
      </c>
      <c r="FT16" s="3">
        <f>'Shipment (Production)'!FP16</f>
        <v>0</v>
      </c>
      <c r="FU16" s="3">
        <f>'Shipment (Production)'!FS16</f>
        <v>0</v>
      </c>
      <c r="FV16" s="3">
        <f>'Shipment (Production)'!FT16</f>
        <v>0</v>
      </c>
      <c r="FW16" s="80">
        <f t="shared" si="28"/>
        <v>0</v>
      </c>
      <c r="FX16" s="3">
        <f>'Shipment (Production)'!FT16</f>
        <v>0</v>
      </c>
      <c r="FY16" s="3">
        <f>'Shipment (Production)'!FU16</f>
        <v>0</v>
      </c>
      <c r="FZ16" s="3">
        <f>'Shipment (Production)'!FX16</f>
        <v>0</v>
      </c>
      <c r="GA16" s="3">
        <f>'Shipment (Production)'!FY16</f>
        <v>0</v>
      </c>
      <c r="GB16" s="80">
        <f t="shared" si="29"/>
        <v>0</v>
      </c>
      <c r="GC16" s="12">
        <f t="shared" si="30"/>
        <v>0</v>
      </c>
    </row>
    <row r="17" spans="1:185" x14ac:dyDescent="0.35">
      <c r="A17" s="1" t="s">
        <v>16</v>
      </c>
      <c r="B17" s="1" t="s">
        <v>23</v>
      </c>
      <c r="G17" s="80">
        <v>0</v>
      </c>
      <c r="H17" s="3">
        <v>0</v>
      </c>
      <c r="I17" s="3">
        <v>0</v>
      </c>
      <c r="J17" s="3">
        <v>0</v>
      </c>
      <c r="K17" s="3">
        <v>0</v>
      </c>
      <c r="L17" s="80">
        <v>106</v>
      </c>
      <c r="M17" s="3">
        <v>0</v>
      </c>
      <c r="N17" s="3">
        <v>0</v>
      </c>
      <c r="O17" s="3">
        <v>0</v>
      </c>
      <c r="P17" s="3">
        <v>0</v>
      </c>
      <c r="Q17" s="80">
        <v>678</v>
      </c>
      <c r="R17" s="3">
        <v>0</v>
      </c>
      <c r="S17" s="3">
        <v>0</v>
      </c>
      <c r="T17" s="3">
        <v>0</v>
      </c>
      <c r="U17" s="3">
        <v>0</v>
      </c>
      <c r="V17" s="80">
        <v>0</v>
      </c>
      <c r="W17" s="3">
        <v>0</v>
      </c>
      <c r="X17" s="3">
        <v>0</v>
      </c>
      <c r="Y17" s="3">
        <v>0</v>
      </c>
      <c r="Z17" s="3">
        <v>0</v>
      </c>
      <c r="AA17" s="80">
        <v>0</v>
      </c>
      <c r="AB17" s="3">
        <v>0</v>
      </c>
      <c r="AC17" s="3">
        <v>0</v>
      </c>
      <c r="AD17" s="3">
        <v>0</v>
      </c>
      <c r="AE17" s="3">
        <v>0</v>
      </c>
      <c r="AF17" s="80">
        <v>0</v>
      </c>
      <c r="AG17" s="3">
        <v>0</v>
      </c>
      <c r="AH17" s="3">
        <v>0</v>
      </c>
      <c r="AI17" s="3">
        <v>0</v>
      </c>
      <c r="AJ17" s="3">
        <v>0</v>
      </c>
      <c r="AK17" s="80">
        <v>413</v>
      </c>
      <c r="AL17" s="3"/>
      <c r="AM17" s="3"/>
      <c r="AN17" s="3"/>
      <c r="AO17" s="3"/>
      <c r="AP17" s="80">
        <v>601</v>
      </c>
      <c r="AQ17" s="3"/>
      <c r="AR17" s="3"/>
      <c r="AS17" s="3"/>
      <c r="AT17" s="87">
        <v>334</v>
      </c>
      <c r="AU17" s="80">
        <f t="shared" si="0"/>
        <v>334</v>
      </c>
      <c r="AV17" s="3"/>
      <c r="AW17" s="3"/>
      <c r="AX17" s="3"/>
      <c r="AY17" s="3">
        <v>0</v>
      </c>
      <c r="AZ17" s="80">
        <f t="shared" si="80"/>
        <v>0</v>
      </c>
      <c r="BA17" s="3"/>
      <c r="BB17" s="3"/>
      <c r="BC17" s="3"/>
      <c r="BD17" s="129">
        <v>281</v>
      </c>
      <c r="BE17" s="80">
        <f t="shared" si="81"/>
        <v>281</v>
      </c>
      <c r="BF17" s="3"/>
      <c r="BG17" s="3"/>
      <c r="BH17" s="129">
        <v>203</v>
      </c>
      <c r="BI17" s="114">
        <f>'Shipment (Production)'!BG17</f>
        <v>0</v>
      </c>
      <c r="BJ17" s="80">
        <f t="shared" si="82"/>
        <v>203</v>
      </c>
      <c r="BK17" s="12">
        <f t="shared" si="35"/>
        <v>2616</v>
      </c>
      <c r="BL17" s="84">
        <f>'Shipment (Production)'!BI17</f>
        <v>0</v>
      </c>
      <c r="BM17" s="3"/>
      <c r="BN17" s="3" t="str">
        <f>'Shipment (Production)'!BL17</f>
        <v xml:space="preserve">                            -  </v>
      </c>
      <c r="BO17" s="3">
        <f>'Shipment (Production)'!BN17</f>
        <v>0</v>
      </c>
      <c r="BP17" s="80">
        <f t="shared" si="83"/>
        <v>0</v>
      </c>
      <c r="BQ17" s="3">
        <f>'Shipment (Production)'!BN17</f>
        <v>0</v>
      </c>
      <c r="BR17" s="3">
        <f>'Shipment (Production)'!BO17</f>
        <v>0</v>
      </c>
      <c r="BS17" s="3">
        <f>'Shipment (Production)'!BQ17</f>
        <v>0</v>
      </c>
      <c r="BT17" s="3">
        <f>'Shipment (Production)'!BR17</f>
        <v>0</v>
      </c>
      <c r="BU17" s="80">
        <f t="shared" si="84"/>
        <v>0</v>
      </c>
      <c r="BV17" s="3">
        <f>'Shipment (Production)'!BS17</f>
        <v>237</v>
      </c>
      <c r="BW17" s="3">
        <f>'Shipment (Production)'!BT17</f>
        <v>0</v>
      </c>
      <c r="BX17" s="3">
        <f>'Shipment (Production)'!BV17</f>
        <v>0</v>
      </c>
      <c r="BY17" s="3">
        <f>'Shipment (Production)'!BW17</f>
        <v>250</v>
      </c>
      <c r="BZ17" s="80">
        <f t="shared" si="85"/>
        <v>487</v>
      </c>
      <c r="CA17" s="3">
        <f>'Shipment (Production)'!BX17</f>
        <v>0</v>
      </c>
      <c r="CB17" s="3">
        <f>'Shipment (Production)'!BY17</f>
        <v>0</v>
      </c>
      <c r="CC17" s="3">
        <f>'Shipment (Production)'!CA17</f>
        <v>0</v>
      </c>
      <c r="CD17" s="3">
        <f>'Shipment (Production)'!CB17</f>
        <v>0</v>
      </c>
      <c r="CE17" s="80">
        <f t="shared" si="86"/>
        <v>0</v>
      </c>
      <c r="CF17" s="3">
        <f>'Shipment (Production)'!CC17</f>
        <v>0</v>
      </c>
      <c r="CG17" s="3">
        <f>'Shipment (Production)'!CD17</f>
        <v>0</v>
      </c>
      <c r="CH17" s="3">
        <f>'Shipment (Production)'!CF17</f>
        <v>0</v>
      </c>
      <c r="CI17" s="3">
        <f>'Shipment (Production)'!CG17</f>
        <v>0</v>
      </c>
      <c r="CJ17" s="80">
        <f t="shared" si="87"/>
        <v>0</v>
      </c>
      <c r="CK17" s="3">
        <f>'Shipment (Production)'!CH17</f>
        <v>300</v>
      </c>
      <c r="CL17" s="3">
        <f>'Shipment (Production)'!CI17</f>
        <v>0</v>
      </c>
      <c r="CM17" s="3">
        <f>'Shipment (Production)'!CK17</f>
        <v>0</v>
      </c>
      <c r="CN17" s="3">
        <f>'Shipment (Production)'!CL17</f>
        <v>0</v>
      </c>
      <c r="CO17" s="80">
        <f t="shared" si="88"/>
        <v>300</v>
      </c>
      <c r="CP17" s="3">
        <f>'Shipment (Production)'!CM17</f>
        <v>300</v>
      </c>
      <c r="CQ17" s="3">
        <f>'Shipment (Production)'!CN17</f>
        <v>0</v>
      </c>
      <c r="CR17" s="3">
        <f>'Shipment (Production)'!CP17</f>
        <v>0</v>
      </c>
      <c r="CS17" s="3">
        <f>'Shipment (Production)'!CQ17</f>
        <v>0</v>
      </c>
      <c r="CT17" s="80">
        <f t="shared" si="89"/>
        <v>300</v>
      </c>
      <c r="CU17" s="3">
        <f>'Shipment (Production)'!CR17</f>
        <v>250</v>
      </c>
      <c r="CV17" s="3">
        <f>'Shipment (Production)'!CS17</f>
        <v>0</v>
      </c>
      <c r="CW17" s="3">
        <f>'Shipment (Production)'!CU17</f>
        <v>0</v>
      </c>
      <c r="CX17" s="3">
        <f>'Shipment (Production)'!CV17</f>
        <v>0</v>
      </c>
      <c r="CY17" s="80">
        <f t="shared" si="90"/>
        <v>250</v>
      </c>
      <c r="CZ17" s="3">
        <f>'Shipment (Production)'!CW17</f>
        <v>300</v>
      </c>
      <c r="DA17" s="3">
        <f>'Shipment (Production)'!CX17</f>
        <v>0</v>
      </c>
      <c r="DB17" s="3">
        <f>'Shipment (Production)'!CZ17</f>
        <v>0</v>
      </c>
      <c r="DC17" s="3">
        <f>'Shipment (Production)'!DA17</f>
        <v>0</v>
      </c>
      <c r="DD17" s="80">
        <f t="shared" si="91"/>
        <v>300</v>
      </c>
      <c r="DE17" s="3">
        <f>'Shipment (Production)'!DB17</f>
        <v>250</v>
      </c>
      <c r="DF17" s="3">
        <f>'Shipment (Production)'!DC17</f>
        <v>0</v>
      </c>
      <c r="DG17" s="3">
        <f>'Shipment (Production)'!DE17</f>
        <v>0</v>
      </c>
      <c r="DH17" s="3">
        <f>'Shipment (Production)'!DF17</f>
        <v>0</v>
      </c>
      <c r="DI17" s="80">
        <f t="shared" si="92"/>
        <v>250</v>
      </c>
      <c r="DJ17" s="3">
        <f>'Shipment (Production)'!DG17</f>
        <v>200</v>
      </c>
      <c r="DK17" s="3">
        <f>'Shipment (Production)'!DH17</f>
        <v>0</v>
      </c>
      <c r="DL17" s="3">
        <f>'Shipment (Production)'!DJ17</f>
        <v>0</v>
      </c>
      <c r="DM17" s="3">
        <f>'Shipment (Production)'!DK17</f>
        <v>0</v>
      </c>
      <c r="DN17" s="80">
        <f t="shared" si="93"/>
        <v>200</v>
      </c>
      <c r="DO17" s="3">
        <f>'Shipment (Production)'!DL17</f>
        <v>150</v>
      </c>
      <c r="DP17" s="3">
        <f>'Shipment (Production)'!DM17</f>
        <v>0</v>
      </c>
      <c r="DQ17" s="3">
        <f>'Shipment (Production)'!DO17</f>
        <v>0</v>
      </c>
      <c r="DR17" s="3">
        <f>'Shipment (Production)'!DP17</f>
        <v>150</v>
      </c>
      <c r="DS17" s="80">
        <f t="shared" si="94"/>
        <v>300</v>
      </c>
      <c r="DT17" s="12">
        <f t="shared" si="48"/>
        <v>2387</v>
      </c>
      <c r="DU17" s="3">
        <f>'Shipment (Production)'!DQ17</f>
        <v>0</v>
      </c>
      <c r="DV17" s="3">
        <f>'Shipment (Production)'!DR17</f>
        <v>0</v>
      </c>
      <c r="DW17" s="3">
        <f>'Shipment (Production)'!DU17</f>
        <v>230</v>
      </c>
      <c r="DX17" s="3">
        <f>'Shipment (Production)'!DV17</f>
        <v>0</v>
      </c>
      <c r="DY17" s="80">
        <f t="shared" si="18"/>
        <v>230</v>
      </c>
      <c r="DZ17" s="3">
        <f>'Shipment (Production)'!DV17</f>
        <v>0</v>
      </c>
      <c r="EA17" s="3">
        <f>'Shipment (Production)'!DW17</f>
        <v>0</v>
      </c>
      <c r="EB17" s="3">
        <f>'Shipment (Production)'!DZ17</f>
        <v>230</v>
      </c>
      <c r="EC17" s="3">
        <f>'Shipment (Production)'!EA17</f>
        <v>0</v>
      </c>
      <c r="ED17" s="80">
        <f t="shared" si="19"/>
        <v>230</v>
      </c>
      <c r="EE17" s="3">
        <f>'Shipment (Production)'!EA17</f>
        <v>0</v>
      </c>
      <c r="EF17" s="3">
        <f>'Shipment (Production)'!EB17</f>
        <v>0</v>
      </c>
      <c r="EG17" s="3">
        <f>'Shipment (Production)'!EE17</f>
        <v>234.6</v>
      </c>
      <c r="EH17" s="3">
        <f>'Shipment (Production)'!EF17</f>
        <v>0</v>
      </c>
      <c r="EI17" s="80">
        <f t="shared" si="20"/>
        <v>234.6</v>
      </c>
      <c r="EJ17" s="3">
        <f>'Shipment (Production)'!EF17</f>
        <v>0</v>
      </c>
      <c r="EK17" s="3">
        <f>'Shipment (Production)'!EG17</f>
        <v>0</v>
      </c>
      <c r="EL17" s="3">
        <f>'Shipment (Production)'!EJ17</f>
        <v>306</v>
      </c>
      <c r="EM17" s="3">
        <f>'Shipment (Production)'!EK17</f>
        <v>0</v>
      </c>
      <c r="EN17" s="80">
        <f t="shared" si="21"/>
        <v>306</v>
      </c>
      <c r="EO17" s="3">
        <f>'Shipment (Production)'!EK17</f>
        <v>0</v>
      </c>
      <c r="EP17" s="3">
        <f>'Shipment (Production)'!EL17</f>
        <v>0</v>
      </c>
      <c r="EQ17" s="3">
        <f>'Shipment (Production)'!EO17</f>
        <v>255</v>
      </c>
      <c r="ER17" s="3">
        <f>'Shipment (Production)'!EP17</f>
        <v>0</v>
      </c>
      <c r="ES17" s="80">
        <f t="shared" si="22"/>
        <v>255</v>
      </c>
      <c r="ET17" s="3">
        <f>'Shipment (Production)'!EP17</f>
        <v>0</v>
      </c>
      <c r="EU17" s="3">
        <f>'Shipment (Production)'!EQ17</f>
        <v>0</v>
      </c>
      <c r="EV17" s="3">
        <f>'Shipment (Production)'!ET17</f>
        <v>255</v>
      </c>
      <c r="EW17" s="3">
        <f>'Shipment (Production)'!EU17</f>
        <v>0</v>
      </c>
      <c r="EX17" s="80">
        <f t="shared" si="23"/>
        <v>255</v>
      </c>
      <c r="EY17" s="3">
        <f>'Shipment (Production)'!EU17</f>
        <v>0</v>
      </c>
      <c r="EZ17" s="3">
        <f>'Shipment (Production)'!EV17</f>
        <v>0</v>
      </c>
      <c r="FA17" s="3">
        <f>'Shipment (Production)'!EY17</f>
        <v>255</v>
      </c>
      <c r="FB17" s="3">
        <f>'Shipment (Production)'!EZ17</f>
        <v>0</v>
      </c>
      <c r="FC17" s="80">
        <f t="shared" si="24"/>
        <v>255</v>
      </c>
      <c r="FD17" s="3">
        <f>'Shipment (Production)'!EZ17</f>
        <v>0</v>
      </c>
      <c r="FE17" s="3">
        <f>'Shipment (Production)'!FA17</f>
        <v>0</v>
      </c>
      <c r="FF17" s="3">
        <f>'Shipment (Production)'!FD17</f>
        <v>255</v>
      </c>
      <c r="FG17" s="3">
        <f>'Shipment (Production)'!FE17</f>
        <v>0</v>
      </c>
      <c r="FH17" s="80">
        <f t="shared" si="25"/>
        <v>255</v>
      </c>
      <c r="FI17" s="3">
        <f>'Shipment (Production)'!FE17</f>
        <v>0</v>
      </c>
      <c r="FJ17" s="3">
        <f>'Shipment (Production)'!FF17</f>
        <v>0</v>
      </c>
      <c r="FK17" s="3">
        <f>'Shipment (Production)'!FI17</f>
        <v>153</v>
      </c>
      <c r="FL17" s="3">
        <f>'Shipment (Production)'!FJ17</f>
        <v>0</v>
      </c>
      <c r="FM17" s="80">
        <f t="shared" si="26"/>
        <v>153</v>
      </c>
      <c r="FN17" s="3">
        <f>'Shipment (Production)'!FJ17</f>
        <v>0</v>
      </c>
      <c r="FO17" s="3">
        <f>'Shipment (Production)'!FK17</f>
        <v>0</v>
      </c>
      <c r="FP17" s="3">
        <f>'Shipment (Production)'!FN17</f>
        <v>153</v>
      </c>
      <c r="FQ17" s="3">
        <f>'Shipment (Production)'!FO17</f>
        <v>0</v>
      </c>
      <c r="FR17" s="80">
        <f t="shared" si="27"/>
        <v>153</v>
      </c>
      <c r="FS17" s="3">
        <f>'Shipment (Production)'!FO17</f>
        <v>0</v>
      </c>
      <c r="FT17" s="3">
        <f>'Shipment (Production)'!FP17</f>
        <v>0</v>
      </c>
      <c r="FU17" s="3">
        <f>'Shipment (Production)'!FS17</f>
        <v>153</v>
      </c>
      <c r="FV17" s="3">
        <f>'Shipment (Production)'!FT17</f>
        <v>0</v>
      </c>
      <c r="FW17" s="80">
        <f t="shared" si="28"/>
        <v>153</v>
      </c>
      <c r="FX17" s="3">
        <f>'Shipment (Production)'!FT17</f>
        <v>0</v>
      </c>
      <c r="FY17" s="3">
        <f>'Shipment (Production)'!FU17</f>
        <v>0</v>
      </c>
      <c r="FZ17" s="3">
        <f>'Shipment (Production)'!FX17</f>
        <v>153</v>
      </c>
      <c r="GA17" s="3">
        <f>'Shipment (Production)'!FY17</f>
        <v>0</v>
      </c>
      <c r="GB17" s="80">
        <f t="shared" si="29"/>
        <v>153</v>
      </c>
      <c r="GC17" s="12">
        <f t="shared" si="30"/>
        <v>2632.6</v>
      </c>
    </row>
    <row r="18" spans="1:185" x14ac:dyDescent="0.35">
      <c r="A18" s="1" t="s">
        <v>16</v>
      </c>
      <c r="B18" s="1" t="s">
        <v>24</v>
      </c>
      <c r="G18" s="80">
        <v>248</v>
      </c>
      <c r="H18" s="3">
        <v>0</v>
      </c>
      <c r="I18" s="3">
        <v>0</v>
      </c>
      <c r="J18" s="3">
        <v>0</v>
      </c>
      <c r="K18" s="3">
        <v>0</v>
      </c>
      <c r="L18" s="80">
        <v>0</v>
      </c>
      <c r="M18" s="3">
        <v>0</v>
      </c>
      <c r="N18" s="3">
        <v>0</v>
      </c>
      <c r="O18" s="3">
        <v>0</v>
      </c>
      <c r="P18" s="3">
        <v>0</v>
      </c>
      <c r="Q18" s="80">
        <v>800</v>
      </c>
      <c r="R18" s="3">
        <v>0</v>
      </c>
      <c r="S18" s="3">
        <v>0</v>
      </c>
      <c r="T18" s="3">
        <v>0</v>
      </c>
      <c r="U18" s="3">
        <v>0</v>
      </c>
      <c r="V18" s="80">
        <v>187</v>
      </c>
      <c r="W18" s="3">
        <v>0</v>
      </c>
      <c r="X18" s="3">
        <v>0</v>
      </c>
      <c r="Y18" s="3">
        <v>0</v>
      </c>
      <c r="Z18" s="3">
        <v>0</v>
      </c>
      <c r="AA18" s="80">
        <v>0</v>
      </c>
      <c r="AB18" s="3">
        <v>0</v>
      </c>
      <c r="AC18" s="3">
        <v>0</v>
      </c>
      <c r="AD18" s="3">
        <v>0</v>
      </c>
      <c r="AE18" s="3">
        <v>0</v>
      </c>
      <c r="AF18" s="80">
        <v>354</v>
      </c>
      <c r="AG18" s="3">
        <v>0</v>
      </c>
      <c r="AH18" s="3">
        <v>0</v>
      </c>
      <c r="AI18" s="3">
        <v>0</v>
      </c>
      <c r="AJ18" s="3">
        <v>0</v>
      </c>
      <c r="AK18" s="80">
        <v>1004</v>
      </c>
      <c r="AL18" s="3"/>
      <c r="AM18" s="3"/>
      <c r="AN18" s="3"/>
      <c r="AO18" s="3"/>
      <c r="AP18" s="80">
        <v>0</v>
      </c>
      <c r="AQ18" s="3"/>
      <c r="AR18" s="3"/>
      <c r="AS18" s="3"/>
      <c r="AT18" s="87">
        <v>562</v>
      </c>
      <c r="AU18" s="80">
        <f t="shared" si="0"/>
        <v>562</v>
      </c>
      <c r="AV18" s="3"/>
      <c r="AW18" s="3"/>
      <c r="AX18" s="3"/>
      <c r="AY18" s="3">
        <v>0</v>
      </c>
      <c r="AZ18" s="80">
        <f t="shared" si="80"/>
        <v>0</v>
      </c>
      <c r="BA18" s="3"/>
      <c r="BB18" s="3"/>
      <c r="BC18" s="3"/>
      <c r="BD18" s="129">
        <v>396</v>
      </c>
      <c r="BE18" s="80">
        <f t="shared" si="81"/>
        <v>396</v>
      </c>
      <c r="BF18" s="3"/>
      <c r="BG18" s="3"/>
      <c r="BH18" s="129">
        <v>615</v>
      </c>
      <c r="BI18" s="114">
        <f>'Shipment (Production)'!BG18</f>
        <v>0</v>
      </c>
      <c r="BJ18" s="80">
        <f t="shared" si="82"/>
        <v>615</v>
      </c>
      <c r="BK18" s="12">
        <f t="shared" si="35"/>
        <v>4166</v>
      </c>
      <c r="BL18" s="84">
        <f>'Shipment (Production)'!BI18</f>
        <v>0</v>
      </c>
      <c r="BM18" s="3"/>
      <c r="BN18" s="3">
        <v>301</v>
      </c>
      <c r="BO18" s="3"/>
      <c r="BP18" s="80">
        <f t="shared" si="83"/>
        <v>301</v>
      </c>
      <c r="BQ18" s="3"/>
      <c r="BR18" s="3">
        <f>'Shipment (Production)'!BO18</f>
        <v>0</v>
      </c>
      <c r="BS18" s="3">
        <f>'Shipment (Production)'!BQ18</f>
        <v>0</v>
      </c>
      <c r="BT18" s="3">
        <f>'Shipment (Production)'!BR18</f>
        <v>0</v>
      </c>
      <c r="BU18" s="80">
        <f t="shared" si="84"/>
        <v>0</v>
      </c>
      <c r="BV18" s="3">
        <f>'Shipment (Production)'!BS18</f>
        <v>635</v>
      </c>
      <c r="BW18" s="3">
        <f>'Shipment (Production)'!BT18</f>
        <v>0</v>
      </c>
      <c r="BX18" s="3">
        <f>'Shipment (Production)'!BV18</f>
        <v>0</v>
      </c>
      <c r="BY18" s="3">
        <f>'Shipment (Production)'!BW18</f>
        <v>400</v>
      </c>
      <c r="BZ18" s="80">
        <f t="shared" si="85"/>
        <v>1035</v>
      </c>
      <c r="CA18" s="3">
        <f>'Shipment (Production)'!BX18</f>
        <v>0</v>
      </c>
      <c r="CB18" s="3">
        <f>'Shipment (Production)'!BY18</f>
        <v>0</v>
      </c>
      <c r="CC18" s="3">
        <f>'Shipment (Production)'!CA18</f>
        <v>0</v>
      </c>
      <c r="CD18" s="3">
        <f>'Shipment (Production)'!CB18</f>
        <v>0</v>
      </c>
      <c r="CE18" s="80">
        <f t="shared" si="86"/>
        <v>0</v>
      </c>
      <c r="CF18" s="3">
        <f>'Shipment (Production)'!CC18</f>
        <v>300</v>
      </c>
      <c r="CG18" s="3">
        <f>'Shipment (Production)'!CD18</f>
        <v>0</v>
      </c>
      <c r="CH18" s="3">
        <f>'Shipment (Production)'!CF18</f>
        <v>0</v>
      </c>
      <c r="CI18" s="3">
        <f>'Shipment (Production)'!CG18</f>
        <v>0</v>
      </c>
      <c r="CJ18" s="80">
        <f t="shared" si="87"/>
        <v>300</v>
      </c>
      <c r="CK18" s="3">
        <f>'Shipment (Production)'!CH18</f>
        <v>250</v>
      </c>
      <c r="CL18" s="3">
        <f>'Shipment (Production)'!CI18</f>
        <v>0</v>
      </c>
      <c r="CM18" s="3">
        <f>'Shipment (Production)'!CK18</f>
        <v>0</v>
      </c>
      <c r="CN18" s="3">
        <f>'Shipment (Production)'!CL18</f>
        <v>0</v>
      </c>
      <c r="CO18" s="80">
        <f t="shared" si="88"/>
        <v>250</v>
      </c>
      <c r="CP18" s="3">
        <f>'Shipment (Production)'!CM18</f>
        <v>300</v>
      </c>
      <c r="CQ18" s="3">
        <f>'Shipment (Production)'!CN18</f>
        <v>0</v>
      </c>
      <c r="CR18" s="3">
        <f>'Shipment (Production)'!CP18</f>
        <v>0</v>
      </c>
      <c r="CS18" s="3">
        <f>'Shipment (Production)'!CQ18</f>
        <v>0</v>
      </c>
      <c r="CT18" s="80">
        <f t="shared" si="89"/>
        <v>300</v>
      </c>
      <c r="CU18" s="3">
        <f>'Shipment (Production)'!CR18</f>
        <v>300</v>
      </c>
      <c r="CV18" s="3">
        <f>'Shipment (Production)'!CS18</f>
        <v>0</v>
      </c>
      <c r="CW18" s="3">
        <f>'Shipment (Production)'!CU18</f>
        <v>0</v>
      </c>
      <c r="CX18" s="3">
        <f>'Shipment (Production)'!CV18</f>
        <v>0</v>
      </c>
      <c r="CY18" s="80">
        <f t="shared" si="90"/>
        <v>300</v>
      </c>
      <c r="CZ18" s="3">
        <f>'Shipment (Production)'!CW18</f>
        <v>350</v>
      </c>
      <c r="DA18" s="3">
        <f>'Shipment (Production)'!CX18</f>
        <v>0</v>
      </c>
      <c r="DB18" s="3">
        <f>'Shipment (Production)'!CZ18</f>
        <v>0</v>
      </c>
      <c r="DC18" s="3">
        <f>'Shipment (Production)'!DA18</f>
        <v>0</v>
      </c>
      <c r="DD18" s="80">
        <f t="shared" si="91"/>
        <v>350</v>
      </c>
      <c r="DE18" s="3">
        <f>'Shipment (Production)'!DB18</f>
        <v>350</v>
      </c>
      <c r="DF18" s="3">
        <f>'Shipment (Production)'!DC18</f>
        <v>0</v>
      </c>
      <c r="DG18" s="3">
        <f>'Shipment (Production)'!DE18</f>
        <v>0</v>
      </c>
      <c r="DH18" s="3">
        <f>'Shipment (Production)'!DF18</f>
        <v>0</v>
      </c>
      <c r="DI18" s="80">
        <f t="shared" si="92"/>
        <v>350</v>
      </c>
      <c r="DJ18" s="3">
        <f>'Shipment (Production)'!DG18</f>
        <v>350</v>
      </c>
      <c r="DK18" s="3">
        <f>'Shipment (Production)'!DH18</f>
        <v>0</v>
      </c>
      <c r="DL18" s="3">
        <f>'Shipment (Production)'!DJ18</f>
        <v>0</v>
      </c>
      <c r="DM18" s="3">
        <f>'Shipment (Production)'!DK18</f>
        <v>0</v>
      </c>
      <c r="DN18" s="80">
        <f t="shared" si="93"/>
        <v>350</v>
      </c>
      <c r="DO18" s="3">
        <f>'Shipment (Production)'!DL18</f>
        <v>250</v>
      </c>
      <c r="DP18" s="3">
        <f>'Shipment (Production)'!DM18</f>
        <v>0</v>
      </c>
      <c r="DQ18" s="3">
        <f>'Shipment (Production)'!DO18</f>
        <v>0</v>
      </c>
      <c r="DR18" s="3">
        <f>'Shipment (Production)'!DP18</f>
        <v>250</v>
      </c>
      <c r="DS18" s="80">
        <f t="shared" si="94"/>
        <v>500</v>
      </c>
      <c r="DT18" s="12">
        <f t="shared" si="48"/>
        <v>4036</v>
      </c>
      <c r="DU18" s="3">
        <f>'Shipment (Production)'!DQ18</f>
        <v>0</v>
      </c>
      <c r="DV18" s="3">
        <f>'Shipment (Production)'!DR18</f>
        <v>0</v>
      </c>
      <c r="DW18" s="3">
        <f>'Shipment (Production)'!DU18</f>
        <v>400</v>
      </c>
      <c r="DX18" s="3">
        <f>'Shipment (Production)'!DV18</f>
        <v>0</v>
      </c>
      <c r="DY18" s="80">
        <f t="shared" si="18"/>
        <v>400</v>
      </c>
      <c r="DZ18" s="3">
        <f>'Shipment (Production)'!DV18</f>
        <v>0</v>
      </c>
      <c r="EA18" s="3">
        <f>'Shipment (Production)'!DW18</f>
        <v>0</v>
      </c>
      <c r="EB18" s="3">
        <f>'Shipment (Production)'!DZ18</f>
        <v>400</v>
      </c>
      <c r="EC18" s="3">
        <f>'Shipment (Production)'!EA18</f>
        <v>0</v>
      </c>
      <c r="ED18" s="80">
        <f t="shared" si="19"/>
        <v>400</v>
      </c>
      <c r="EE18" s="3">
        <f>'Shipment (Production)'!EA18</f>
        <v>0</v>
      </c>
      <c r="EF18" s="3">
        <f>'Shipment (Production)'!EB18</f>
        <v>0</v>
      </c>
      <c r="EG18" s="3">
        <f>'Shipment (Production)'!EE18</f>
        <v>408</v>
      </c>
      <c r="EH18" s="3">
        <f>'Shipment (Production)'!EF18</f>
        <v>0</v>
      </c>
      <c r="EI18" s="80">
        <f t="shared" si="20"/>
        <v>408</v>
      </c>
      <c r="EJ18" s="3">
        <f>'Shipment (Production)'!EF18</f>
        <v>0</v>
      </c>
      <c r="EK18" s="3">
        <f>'Shipment (Production)'!EG18</f>
        <v>0</v>
      </c>
      <c r="EL18" s="3">
        <f>'Shipment (Production)'!EJ18</f>
        <v>408</v>
      </c>
      <c r="EM18" s="3">
        <f>'Shipment (Production)'!EK18</f>
        <v>0</v>
      </c>
      <c r="EN18" s="80">
        <f t="shared" si="21"/>
        <v>408</v>
      </c>
      <c r="EO18" s="3">
        <f>'Shipment (Production)'!EK18</f>
        <v>0</v>
      </c>
      <c r="EP18" s="3">
        <f>'Shipment (Production)'!EL18</f>
        <v>0</v>
      </c>
      <c r="EQ18" s="3">
        <f>'Shipment (Production)'!EO18</f>
        <v>510</v>
      </c>
      <c r="ER18" s="3">
        <f>'Shipment (Production)'!EP18</f>
        <v>0</v>
      </c>
      <c r="ES18" s="80">
        <f t="shared" si="22"/>
        <v>510</v>
      </c>
      <c r="ET18" s="3">
        <f>'Shipment (Production)'!EP18</f>
        <v>0</v>
      </c>
      <c r="EU18" s="3">
        <f>'Shipment (Production)'!EQ18</f>
        <v>0</v>
      </c>
      <c r="EV18" s="3">
        <f>'Shipment (Production)'!ET18</f>
        <v>510</v>
      </c>
      <c r="EW18" s="3">
        <f>'Shipment (Production)'!EU18</f>
        <v>0</v>
      </c>
      <c r="EX18" s="80">
        <f t="shared" si="23"/>
        <v>510</v>
      </c>
      <c r="EY18" s="3">
        <f>'Shipment (Production)'!EU18</f>
        <v>0</v>
      </c>
      <c r="EZ18" s="3">
        <f>'Shipment (Production)'!EV18</f>
        <v>0</v>
      </c>
      <c r="FA18" s="3">
        <f>'Shipment (Production)'!EY18</f>
        <v>510</v>
      </c>
      <c r="FB18" s="3">
        <f>'Shipment (Production)'!EZ18</f>
        <v>0</v>
      </c>
      <c r="FC18" s="80">
        <f t="shared" si="24"/>
        <v>510</v>
      </c>
      <c r="FD18" s="3">
        <f>'Shipment (Production)'!EZ18</f>
        <v>0</v>
      </c>
      <c r="FE18" s="3">
        <f>'Shipment (Production)'!FA18</f>
        <v>0</v>
      </c>
      <c r="FF18" s="3">
        <f>'Shipment (Production)'!FD18</f>
        <v>408</v>
      </c>
      <c r="FG18" s="3">
        <f>'Shipment (Production)'!FE18</f>
        <v>0</v>
      </c>
      <c r="FH18" s="80">
        <f t="shared" si="25"/>
        <v>408</v>
      </c>
      <c r="FI18" s="3">
        <f>'Shipment (Production)'!FE18</f>
        <v>0</v>
      </c>
      <c r="FJ18" s="3">
        <f>'Shipment (Production)'!FF18</f>
        <v>0</v>
      </c>
      <c r="FK18" s="3">
        <f>'Shipment (Production)'!FI18</f>
        <v>408</v>
      </c>
      <c r="FL18" s="3">
        <f>'Shipment (Production)'!FJ18</f>
        <v>0</v>
      </c>
      <c r="FM18" s="80">
        <f t="shared" si="26"/>
        <v>408</v>
      </c>
      <c r="FN18" s="3">
        <f>'Shipment (Production)'!FJ18</f>
        <v>0</v>
      </c>
      <c r="FO18" s="3">
        <f>'Shipment (Production)'!FK18</f>
        <v>0</v>
      </c>
      <c r="FP18" s="3">
        <f>'Shipment (Production)'!FN18</f>
        <v>306</v>
      </c>
      <c r="FQ18" s="3">
        <f>'Shipment (Production)'!FO18</f>
        <v>0</v>
      </c>
      <c r="FR18" s="80">
        <f t="shared" si="27"/>
        <v>306</v>
      </c>
      <c r="FS18" s="3">
        <f>'Shipment (Production)'!FO18</f>
        <v>0</v>
      </c>
      <c r="FT18" s="3">
        <f>'Shipment (Production)'!FP18</f>
        <v>0</v>
      </c>
      <c r="FU18" s="3">
        <f>'Shipment (Production)'!FS18</f>
        <v>306</v>
      </c>
      <c r="FV18" s="3">
        <f>'Shipment (Production)'!FT18</f>
        <v>0</v>
      </c>
      <c r="FW18" s="80">
        <f t="shared" si="28"/>
        <v>306</v>
      </c>
      <c r="FX18" s="3">
        <f>'Shipment (Production)'!FT18</f>
        <v>0</v>
      </c>
      <c r="FY18" s="3">
        <f>'Shipment (Production)'!FU18</f>
        <v>0</v>
      </c>
      <c r="FZ18" s="3">
        <f>'Shipment (Production)'!FX18</f>
        <v>306</v>
      </c>
      <c r="GA18" s="3">
        <f>'Shipment (Production)'!FY18</f>
        <v>0</v>
      </c>
      <c r="GB18" s="80">
        <f t="shared" si="29"/>
        <v>306</v>
      </c>
      <c r="GC18" s="12">
        <f t="shared" si="30"/>
        <v>4880</v>
      </c>
    </row>
    <row r="19" spans="1:185" x14ac:dyDescent="0.35">
      <c r="A19" s="1" t="s">
        <v>16</v>
      </c>
      <c r="B19" s="1" t="s">
        <v>25</v>
      </c>
      <c r="G19" s="80">
        <v>0</v>
      </c>
      <c r="H19" s="3">
        <v>0</v>
      </c>
      <c r="I19" s="3">
        <v>0</v>
      </c>
      <c r="J19" s="3">
        <v>0</v>
      </c>
      <c r="K19" s="3">
        <v>0</v>
      </c>
      <c r="L19" s="80">
        <v>0</v>
      </c>
      <c r="M19" s="3">
        <v>0</v>
      </c>
      <c r="N19" s="3">
        <v>0</v>
      </c>
      <c r="O19" s="3">
        <v>0</v>
      </c>
      <c r="P19" s="3">
        <v>0</v>
      </c>
      <c r="Q19" s="80">
        <v>344</v>
      </c>
      <c r="R19" s="3">
        <v>0</v>
      </c>
      <c r="S19" s="3">
        <v>0</v>
      </c>
      <c r="T19" s="3">
        <v>0</v>
      </c>
      <c r="U19" s="3">
        <v>0</v>
      </c>
      <c r="V19" s="80">
        <v>0</v>
      </c>
      <c r="W19" s="3">
        <v>0</v>
      </c>
      <c r="X19" s="3">
        <v>0</v>
      </c>
      <c r="Y19" s="3">
        <v>0</v>
      </c>
      <c r="Z19" s="3">
        <v>0</v>
      </c>
      <c r="AA19" s="80">
        <v>0</v>
      </c>
      <c r="AB19" s="3">
        <v>0</v>
      </c>
      <c r="AC19" s="3">
        <v>0</v>
      </c>
      <c r="AD19" s="3">
        <v>0</v>
      </c>
      <c r="AE19" s="3">
        <v>0</v>
      </c>
      <c r="AF19" s="80">
        <v>0</v>
      </c>
      <c r="AG19" s="3">
        <v>0</v>
      </c>
      <c r="AH19" s="3">
        <v>0</v>
      </c>
      <c r="AI19" s="3">
        <v>0</v>
      </c>
      <c r="AJ19" s="3">
        <v>0</v>
      </c>
      <c r="AK19" s="80">
        <v>0</v>
      </c>
      <c r="AL19" s="3"/>
      <c r="AM19" s="3"/>
      <c r="AN19" s="3"/>
      <c r="AO19" s="3"/>
      <c r="AP19" s="80">
        <v>223</v>
      </c>
      <c r="AQ19" s="3"/>
      <c r="AR19" s="3"/>
      <c r="AS19" s="3"/>
      <c r="AT19" s="87">
        <v>0</v>
      </c>
      <c r="AU19" s="80">
        <f t="shared" si="0"/>
        <v>0</v>
      </c>
      <c r="AV19" s="3"/>
      <c r="AW19" s="3"/>
      <c r="AX19" s="3"/>
      <c r="AY19" s="3">
        <v>0</v>
      </c>
      <c r="AZ19" s="80">
        <f t="shared" si="80"/>
        <v>0</v>
      </c>
      <c r="BA19" s="3"/>
      <c r="BB19" s="3"/>
      <c r="BC19" s="3"/>
      <c r="BD19" s="129">
        <v>152</v>
      </c>
      <c r="BE19" s="80">
        <f t="shared" si="81"/>
        <v>152</v>
      </c>
      <c r="BF19" s="3"/>
      <c r="BG19" s="3"/>
      <c r="BH19" s="129">
        <v>111</v>
      </c>
      <c r="BI19" s="114">
        <f>'Shipment (Production)'!BG19</f>
        <v>0</v>
      </c>
      <c r="BJ19" s="80">
        <f t="shared" si="82"/>
        <v>111</v>
      </c>
      <c r="BK19" s="12">
        <f t="shared" si="35"/>
        <v>830</v>
      </c>
      <c r="BL19" s="84">
        <f>'Shipment (Production)'!BI19</f>
        <v>0</v>
      </c>
      <c r="BM19" s="3"/>
      <c r="BN19" s="3">
        <v>176</v>
      </c>
      <c r="BO19" s="3"/>
      <c r="BP19" s="80">
        <f t="shared" si="83"/>
        <v>176</v>
      </c>
      <c r="BQ19" s="3"/>
      <c r="BR19" s="3">
        <f>'Shipment (Production)'!BO19</f>
        <v>0</v>
      </c>
      <c r="BS19" s="3">
        <f>'Shipment (Production)'!BQ19</f>
        <v>0</v>
      </c>
      <c r="BT19" s="3">
        <f>'Shipment (Production)'!BR19</f>
        <v>0</v>
      </c>
      <c r="BU19" s="80">
        <f t="shared" si="84"/>
        <v>0</v>
      </c>
      <c r="BV19" s="3">
        <f>'Shipment (Production)'!BS19</f>
        <v>0</v>
      </c>
      <c r="BW19" s="3">
        <f>'Shipment (Production)'!BT19</f>
        <v>0</v>
      </c>
      <c r="BX19" s="3">
        <f>'Shipment (Production)'!BV19</f>
        <v>0</v>
      </c>
      <c r="BY19" s="3">
        <f>'Shipment (Production)'!BW19</f>
        <v>0</v>
      </c>
      <c r="BZ19" s="80">
        <f t="shared" si="85"/>
        <v>0</v>
      </c>
      <c r="CA19" s="3">
        <f>'Shipment (Production)'!BX19</f>
        <v>170</v>
      </c>
      <c r="CB19" s="3">
        <f>'Shipment (Production)'!BY19</f>
        <v>0</v>
      </c>
      <c r="CC19" s="3">
        <f>'Shipment (Production)'!CA19</f>
        <v>0</v>
      </c>
      <c r="CD19" s="3">
        <f>'Shipment (Production)'!CB19</f>
        <v>0</v>
      </c>
      <c r="CE19" s="80">
        <f t="shared" si="86"/>
        <v>170</v>
      </c>
      <c r="CF19" s="3">
        <f>'Shipment (Production)'!CC19</f>
        <v>0</v>
      </c>
      <c r="CG19" s="3">
        <f>'Shipment (Production)'!CD19</f>
        <v>0</v>
      </c>
      <c r="CH19" s="3">
        <f>'Shipment (Production)'!CF19</f>
        <v>0</v>
      </c>
      <c r="CI19" s="3">
        <f>'Shipment (Production)'!CG19</f>
        <v>0</v>
      </c>
      <c r="CJ19" s="80">
        <f t="shared" si="87"/>
        <v>0</v>
      </c>
      <c r="CK19" s="3">
        <f>'Shipment (Production)'!CH19</f>
        <v>200</v>
      </c>
      <c r="CL19" s="3">
        <f>'Shipment (Production)'!CI19</f>
        <v>0</v>
      </c>
      <c r="CM19" s="3">
        <f>'Shipment (Production)'!CK19</f>
        <v>0</v>
      </c>
      <c r="CN19" s="3">
        <f>'Shipment (Production)'!CL19</f>
        <v>0</v>
      </c>
      <c r="CO19" s="80">
        <f t="shared" si="88"/>
        <v>200</v>
      </c>
      <c r="CP19" s="3">
        <f>'Shipment (Production)'!CM19</f>
        <v>0</v>
      </c>
      <c r="CQ19" s="3">
        <f>'Shipment (Production)'!CN19</f>
        <v>0</v>
      </c>
      <c r="CR19" s="3">
        <f>'Shipment (Production)'!CP19</f>
        <v>0</v>
      </c>
      <c r="CS19" s="3">
        <f>'Shipment (Production)'!CQ19</f>
        <v>0</v>
      </c>
      <c r="CT19" s="80">
        <f t="shared" si="89"/>
        <v>0</v>
      </c>
      <c r="CU19" s="3">
        <f>'Shipment (Production)'!CR19</f>
        <v>200</v>
      </c>
      <c r="CV19" s="3">
        <f>'Shipment (Production)'!CS19</f>
        <v>0</v>
      </c>
      <c r="CW19" s="3">
        <f>'Shipment (Production)'!CU19</f>
        <v>0</v>
      </c>
      <c r="CX19" s="3">
        <f>'Shipment (Production)'!CV19</f>
        <v>0</v>
      </c>
      <c r="CY19" s="80">
        <f t="shared" si="90"/>
        <v>200</v>
      </c>
      <c r="CZ19" s="3">
        <f>'Shipment (Production)'!CW19</f>
        <v>0</v>
      </c>
      <c r="DA19" s="3">
        <f>'Shipment (Production)'!CX19</f>
        <v>0</v>
      </c>
      <c r="DB19" s="3">
        <f>'Shipment (Production)'!CZ19</f>
        <v>0</v>
      </c>
      <c r="DC19" s="3">
        <f>'Shipment (Production)'!DA19</f>
        <v>0</v>
      </c>
      <c r="DD19" s="80">
        <f t="shared" si="91"/>
        <v>0</v>
      </c>
      <c r="DE19" s="3">
        <f>'Shipment (Production)'!DB19</f>
        <v>200</v>
      </c>
      <c r="DF19" s="3">
        <f>'Shipment (Production)'!DC19</f>
        <v>0</v>
      </c>
      <c r="DG19" s="3">
        <f>'Shipment (Production)'!DE19</f>
        <v>0</v>
      </c>
      <c r="DH19" s="3">
        <f>'Shipment (Production)'!DF19</f>
        <v>0</v>
      </c>
      <c r="DI19" s="80">
        <f t="shared" si="92"/>
        <v>200</v>
      </c>
      <c r="DJ19" s="3">
        <f>'Shipment (Production)'!DG19</f>
        <v>0</v>
      </c>
      <c r="DK19" s="3">
        <f>'Shipment (Production)'!DH19</f>
        <v>0</v>
      </c>
      <c r="DL19" s="3">
        <f>'Shipment (Production)'!DJ19</f>
        <v>0</v>
      </c>
      <c r="DM19" s="3">
        <f>'Shipment (Production)'!DK19</f>
        <v>0</v>
      </c>
      <c r="DN19" s="80">
        <f t="shared" si="93"/>
        <v>0</v>
      </c>
      <c r="DO19" s="3">
        <f>'Shipment (Production)'!DL19</f>
        <v>100</v>
      </c>
      <c r="DP19" s="3">
        <f>'Shipment (Production)'!DM19</f>
        <v>0</v>
      </c>
      <c r="DQ19" s="3">
        <f>'Shipment (Production)'!DO19</f>
        <v>0</v>
      </c>
      <c r="DR19" s="3">
        <f>'Shipment (Production)'!DP19</f>
        <v>0</v>
      </c>
      <c r="DS19" s="80">
        <f t="shared" si="94"/>
        <v>100</v>
      </c>
      <c r="DT19" s="12">
        <f t="shared" si="48"/>
        <v>1046</v>
      </c>
      <c r="DU19" s="3">
        <f>'Shipment (Production)'!DQ19</f>
        <v>0</v>
      </c>
      <c r="DV19" s="3">
        <f>'Shipment (Production)'!DR19</f>
        <v>0</v>
      </c>
      <c r="DW19" s="3">
        <f>'Shipment (Production)'!DU19</f>
        <v>200</v>
      </c>
      <c r="DX19" s="3">
        <f>'Shipment (Production)'!DV19</f>
        <v>0</v>
      </c>
      <c r="DY19" s="80">
        <f t="shared" si="18"/>
        <v>200</v>
      </c>
      <c r="DZ19" s="3">
        <f>'Shipment (Production)'!DV19</f>
        <v>0</v>
      </c>
      <c r="EA19" s="3">
        <f>'Shipment (Production)'!DW19</f>
        <v>0</v>
      </c>
      <c r="EB19" s="3">
        <f>'Shipment (Production)'!DZ19</f>
        <v>150</v>
      </c>
      <c r="EC19" s="3">
        <f>'Shipment (Production)'!EA19</f>
        <v>0</v>
      </c>
      <c r="ED19" s="80">
        <f t="shared" si="19"/>
        <v>150</v>
      </c>
      <c r="EE19" s="3">
        <f>'Shipment (Production)'!EA19</f>
        <v>0</v>
      </c>
      <c r="EF19" s="3">
        <f>'Shipment (Production)'!EB19</f>
        <v>0</v>
      </c>
      <c r="EG19" s="3">
        <f>'Shipment (Production)'!EE19</f>
        <v>102</v>
      </c>
      <c r="EH19" s="3">
        <f>'Shipment (Production)'!EF19</f>
        <v>0</v>
      </c>
      <c r="EI19" s="80">
        <f t="shared" si="20"/>
        <v>102</v>
      </c>
      <c r="EJ19" s="3">
        <f>'Shipment (Production)'!EF19</f>
        <v>0</v>
      </c>
      <c r="EK19" s="3">
        <f>'Shipment (Production)'!EG19</f>
        <v>0</v>
      </c>
      <c r="EL19" s="3">
        <f>'Shipment (Production)'!EJ19</f>
        <v>102</v>
      </c>
      <c r="EM19" s="3">
        <f>'Shipment (Production)'!EK19</f>
        <v>0</v>
      </c>
      <c r="EN19" s="80">
        <f t="shared" si="21"/>
        <v>102</v>
      </c>
      <c r="EO19" s="3">
        <f>'Shipment (Production)'!EK19</f>
        <v>0</v>
      </c>
      <c r="EP19" s="3">
        <f>'Shipment (Production)'!EL19</f>
        <v>0</v>
      </c>
      <c r="EQ19" s="3">
        <f>'Shipment (Production)'!EO19</f>
        <v>102</v>
      </c>
      <c r="ER19" s="3">
        <f>'Shipment (Production)'!EP19</f>
        <v>0</v>
      </c>
      <c r="ES19" s="80">
        <f t="shared" si="22"/>
        <v>102</v>
      </c>
      <c r="ET19" s="3">
        <f>'Shipment (Production)'!EP19</f>
        <v>0</v>
      </c>
      <c r="EU19" s="3">
        <f>'Shipment (Production)'!EQ19</f>
        <v>0</v>
      </c>
      <c r="EV19" s="3">
        <f>'Shipment (Production)'!ET19</f>
        <v>81.599999999999994</v>
      </c>
      <c r="EW19" s="3">
        <f>'Shipment (Production)'!EU19</f>
        <v>0</v>
      </c>
      <c r="EX19" s="80">
        <f t="shared" si="23"/>
        <v>81.599999999999994</v>
      </c>
      <c r="EY19" s="3">
        <f>'Shipment (Production)'!EU19</f>
        <v>0</v>
      </c>
      <c r="EZ19" s="3">
        <f>'Shipment (Production)'!EV19</f>
        <v>0</v>
      </c>
      <c r="FA19" s="3">
        <f>'Shipment (Production)'!EY19</f>
        <v>102</v>
      </c>
      <c r="FB19" s="3">
        <f>'Shipment (Production)'!EZ19</f>
        <v>0</v>
      </c>
      <c r="FC19" s="80">
        <f t="shared" si="24"/>
        <v>102</v>
      </c>
      <c r="FD19" s="3">
        <f>'Shipment (Production)'!EZ19</f>
        <v>0</v>
      </c>
      <c r="FE19" s="3">
        <f>'Shipment (Production)'!FA19</f>
        <v>0</v>
      </c>
      <c r="FF19" s="3">
        <f>'Shipment (Production)'!FD19</f>
        <v>102</v>
      </c>
      <c r="FG19" s="3">
        <f>'Shipment (Production)'!FE19</f>
        <v>0</v>
      </c>
      <c r="FH19" s="80">
        <f t="shared" si="25"/>
        <v>102</v>
      </c>
      <c r="FI19" s="3">
        <f>'Shipment (Production)'!FE19</f>
        <v>0</v>
      </c>
      <c r="FJ19" s="3">
        <f>'Shipment (Production)'!FF19</f>
        <v>0</v>
      </c>
      <c r="FK19" s="3">
        <f>'Shipment (Production)'!FI19</f>
        <v>71.400000000000006</v>
      </c>
      <c r="FL19" s="3">
        <f>'Shipment (Production)'!FJ19</f>
        <v>0</v>
      </c>
      <c r="FM19" s="80">
        <f t="shared" si="26"/>
        <v>71.400000000000006</v>
      </c>
      <c r="FN19" s="3">
        <f>'Shipment (Production)'!FJ19</f>
        <v>0</v>
      </c>
      <c r="FO19" s="3">
        <f>'Shipment (Production)'!FK19</f>
        <v>0</v>
      </c>
      <c r="FP19" s="3">
        <f>'Shipment (Production)'!FN19</f>
        <v>71.400000000000006</v>
      </c>
      <c r="FQ19" s="3">
        <f>'Shipment (Production)'!FO19</f>
        <v>0</v>
      </c>
      <c r="FR19" s="80">
        <f t="shared" si="27"/>
        <v>71.400000000000006</v>
      </c>
      <c r="FS19" s="3">
        <f>'Shipment (Production)'!FO19</f>
        <v>0</v>
      </c>
      <c r="FT19" s="3">
        <f>'Shipment (Production)'!FP19</f>
        <v>0</v>
      </c>
      <c r="FU19" s="3">
        <f>'Shipment (Production)'!FS19</f>
        <v>71.400000000000006</v>
      </c>
      <c r="FV19" s="3">
        <f>'Shipment (Production)'!FT19</f>
        <v>0</v>
      </c>
      <c r="FW19" s="80">
        <f t="shared" si="28"/>
        <v>71.400000000000006</v>
      </c>
      <c r="FX19" s="3">
        <f>'Shipment (Production)'!FT19</f>
        <v>0</v>
      </c>
      <c r="FY19" s="3">
        <f>'Shipment (Production)'!FU19</f>
        <v>0</v>
      </c>
      <c r="FZ19" s="3">
        <f>'Shipment (Production)'!FX19</f>
        <v>71.400000000000006</v>
      </c>
      <c r="GA19" s="3">
        <f>'Shipment (Production)'!FY19</f>
        <v>0</v>
      </c>
      <c r="GB19" s="80">
        <f t="shared" si="29"/>
        <v>71.400000000000006</v>
      </c>
      <c r="GC19" s="12">
        <f t="shared" si="30"/>
        <v>1227.2</v>
      </c>
    </row>
    <row r="20" spans="1:185" x14ac:dyDescent="0.35">
      <c r="A20" s="1" t="s">
        <v>16</v>
      </c>
      <c r="B20" s="1" t="s">
        <v>26</v>
      </c>
      <c r="G20" s="80">
        <v>0</v>
      </c>
      <c r="H20" s="3">
        <v>0</v>
      </c>
      <c r="I20" s="3">
        <v>0</v>
      </c>
      <c r="J20" s="3">
        <v>0</v>
      </c>
      <c r="K20" s="3">
        <v>0</v>
      </c>
      <c r="L20" s="80">
        <v>0</v>
      </c>
      <c r="M20" s="3">
        <v>0</v>
      </c>
      <c r="N20" s="3">
        <v>0</v>
      </c>
      <c r="O20" s="3">
        <v>0</v>
      </c>
      <c r="P20" s="3">
        <v>0</v>
      </c>
      <c r="Q20" s="80">
        <v>193</v>
      </c>
      <c r="R20" s="3">
        <v>0</v>
      </c>
      <c r="S20" s="3">
        <v>0</v>
      </c>
      <c r="T20" s="3">
        <v>0</v>
      </c>
      <c r="U20" s="3">
        <v>0</v>
      </c>
      <c r="V20" s="80">
        <v>0</v>
      </c>
      <c r="W20" s="3">
        <v>0</v>
      </c>
      <c r="X20" s="3">
        <v>0</v>
      </c>
      <c r="Y20" s="3">
        <v>0</v>
      </c>
      <c r="Z20" s="3">
        <v>0</v>
      </c>
      <c r="AA20" s="80">
        <v>0</v>
      </c>
      <c r="AB20" s="3">
        <v>0</v>
      </c>
      <c r="AC20" s="3">
        <v>0</v>
      </c>
      <c r="AD20" s="3">
        <v>0</v>
      </c>
      <c r="AE20" s="3">
        <v>0</v>
      </c>
      <c r="AF20" s="80">
        <v>0</v>
      </c>
      <c r="AG20" s="3">
        <v>0</v>
      </c>
      <c r="AH20" s="3">
        <v>0</v>
      </c>
      <c r="AI20" s="3">
        <v>0</v>
      </c>
      <c r="AJ20" s="3">
        <v>0</v>
      </c>
      <c r="AK20" s="80">
        <v>0</v>
      </c>
      <c r="AL20" s="3"/>
      <c r="AM20" s="3"/>
      <c r="AN20" s="3"/>
      <c r="AO20" s="3"/>
      <c r="AP20" s="80">
        <v>0</v>
      </c>
      <c r="AQ20" s="3"/>
      <c r="AR20" s="3"/>
      <c r="AS20" s="3"/>
      <c r="AT20" s="87">
        <v>0</v>
      </c>
      <c r="AU20" s="80">
        <f t="shared" si="0"/>
        <v>0</v>
      </c>
      <c r="AV20" s="3"/>
      <c r="AW20" s="3"/>
      <c r="AX20" s="3"/>
      <c r="AY20" s="3">
        <v>0</v>
      </c>
      <c r="AZ20" s="80">
        <f t="shared" si="80"/>
        <v>0</v>
      </c>
      <c r="BA20" s="3"/>
      <c r="BB20" s="3"/>
      <c r="BC20" s="3"/>
      <c r="BD20" s="129">
        <v>0</v>
      </c>
      <c r="BE20" s="80">
        <f t="shared" si="81"/>
        <v>0</v>
      </c>
      <c r="BF20" s="3"/>
      <c r="BG20" s="3"/>
      <c r="BH20" s="129">
        <v>0</v>
      </c>
      <c r="BI20" s="114">
        <f>'Shipment (Production)'!BG20</f>
        <v>0</v>
      </c>
      <c r="BJ20" s="80">
        <f t="shared" si="82"/>
        <v>0</v>
      </c>
      <c r="BK20" s="12">
        <f t="shared" si="35"/>
        <v>193</v>
      </c>
      <c r="BL20" s="84">
        <f>'Shipment (Production)'!BI20</f>
        <v>0</v>
      </c>
      <c r="BM20" s="3"/>
      <c r="BN20" s="3" t="str">
        <f>'Shipment (Production)'!BL20</f>
        <v xml:space="preserve">                            -  </v>
      </c>
      <c r="BO20" s="3">
        <f>'Shipment (Production)'!BM20</f>
        <v>0</v>
      </c>
      <c r="BP20" s="80">
        <f t="shared" si="83"/>
        <v>0</v>
      </c>
      <c r="BQ20" s="3">
        <f>'Shipment (Production)'!BN20</f>
        <v>0</v>
      </c>
      <c r="BR20" s="3">
        <f>'Shipment (Production)'!BO20</f>
        <v>0</v>
      </c>
      <c r="BS20" s="3">
        <f>'Shipment (Production)'!BQ20</f>
        <v>0</v>
      </c>
      <c r="BT20" s="3">
        <f>'Shipment (Production)'!BR20</f>
        <v>0</v>
      </c>
      <c r="BU20" s="80">
        <f t="shared" si="84"/>
        <v>0</v>
      </c>
      <c r="BV20" s="3">
        <f>'Shipment (Production)'!BS20</f>
        <v>0</v>
      </c>
      <c r="BW20" s="3">
        <f>'Shipment (Production)'!BT20</f>
        <v>0</v>
      </c>
      <c r="BX20" s="3">
        <f>'Shipment (Production)'!BV20</f>
        <v>0</v>
      </c>
      <c r="BY20" s="3">
        <f>'Shipment (Production)'!BW20</f>
        <v>0</v>
      </c>
      <c r="BZ20" s="80">
        <f t="shared" si="85"/>
        <v>0</v>
      </c>
      <c r="CA20" s="3">
        <f>'Shipment (Production)'!BX20</f>
        <v>100</v>
      </c>
      <c r="CB20" s="3">
        <f>'Shipment (Production)'!BY20</f>
        <v>0</v>
      </c>
      <c r="CC20" s="3" t="str">
        <f>'Shipment (Production)'!CA20</f>
        <v xml:space="preserve">                           -  </v>
      </c>
      <c r="CD20" s="3">
        <f>'Shipment (Production)'!CB20</f>
        <v>0</v>
      </c>
      <c r="CE20" s="80">
        <f t="shared" si="86"/>
        <v>100</v>
      </c>
      <c r="CF20" s="3">
        <f>'Shipment (Production)'!CC20</f>
        <v>100</v>
      </c>
      <c r="CG20" s="3">
        <f>'Shipment (Production)'!CD20</f>
        <v>0</v>
      </c>
      <c r="CH20" s="3">
        <f>'Shipment (Production)'!CF20</f>
        <v>0</v>
      </c>
      <c r="CI20" s="3">
        <f>'Shipment (Production)'!CG20</f>
        <v>0</v>
      </c>
      <c r="CJ20" s="80">
        <f t="shared" si="87"/>
        <v>100</v>
      </c>
      <c r="CK20" s="3">
        <f>'Shipment (Production)'!CH20</f>
        <v>0</v>
      </c>
      <c r="CL20" s="3">
        <f>'Shipment (Production)'!CI20</f>
        <v>0</v>
      </c>
      <c r="CM20" s="3">
        <f>'Shipment (Production)'!CK20</f>
        <v>0</v>
      </c>
      <c r="CN20" s="3">
        <f>'Shipment (Production)'!CL20</f>
        <v>0</v>
      </c>
      <c r="CO20" s="80">
        <f t="shared" si="88"/>
        <v>0</v>
      </c>
      <c r="CP20" s="3">
        <f>'Shipment (Production)'!CM20</f>
        <v>0</v>
      </c>
      <c r="CQ20" s="3">
        <f>'Shipment (Production)'!CN20</f>
        <v>0</v>
      </c>
      <c r="CR20" s="3">
        <f>'Shipment (Production)'!CP20</f>
        <v>50</v>
      </c>
      <c r="CS20" s="3">
        <f>'Shipment (Production)'!CQ20</f>
        <v>0</v>
      </c>
      <c r="CT20" s="80">
        <f t="shared" si="89"/>
        <v>50</v>
      </c>
      <c r="CU20" s="3">
        <f>'Shipment (Production)'!CR20</f>
        <v>0</v>
      </c>
      <c r="CV20" s="3">
        <f>'Shipment (Production)'!CS20</f>
        <v>0</v>
      </c>
      <c r="CW20" s="3">
        <f>'Shipment (Production)'!CU20</f>
        <v>0</v>
      </c>
      <c r="CX20" s="3">
        <f>'Shipment (Production)'!CV20</f>
        <v>0</v>
      </c>
      <c r="CY20" s="80">
        <f t="shared" si="90"/>
        <v>0</v>
      </c>
      <c r="CZ20" s="3">
        <f>'Shipment (Production)'!CW20</f>
        <v>75</v>
      </c>
      <c r="DA20" s="3">
        <f>'Shipment (Production)'!CX20</f>
        <v>0</v>
      </c>
      <c r="DB20" s="3">
        <f>'Shipment (Production)'!CZ20</f>
        <v>0</v>
      </c>
      <c r="DC20" s="3">
        <f>'Shipment (Production)'!DA20</f>
        <v>0</v>
      </c>
      <c r="DD20" s="80">
        <f t="shared" si="91"/>
        <v>75</v>
      </c>
      <c r="DE20" s="3">
        <f>'Shipment (Production)'!DB20</f>
        <v>0</v>
      </c>
      <c r="DF20" s="3">
        <f>'Shipment (Production)'!DC20</f>
        <v>0</v>
      </c>
      <c r="DG20" s="3">
        <f>'Shipment (Production)'!DE20</f>
        <v>0</v>
      </c>
      <c r="DH20" s="3">
        <f>'Shipment (Production)'!DF20</f>
        <v>0</v>
      </c>
      <c r="DI20" s="80">
        <f t="shared" si="92"/>
        <v>0</v>
      </c>
      <c r="DJ20" s="3">
        <f>'Shipment (Production)'!DG20</f>
        <v>0</v>
      </c>
      <c r="DK20" s="3">
        <f>'Shipment (Production)'!DH20</f>
        <v>0</v>
      </c>
      <c r="DL20" s="3">
        <f>'Shipment (Production)'!DJ20</f>
        <v>0</v>
      </c>
      <c r="DM20" s="3">
        <f>'Shipment (Production)'!DK20</f>
        <v>50</v>
      </c>
      <c r="DN20" s="80">
        <f t="shared" si="93"/>
        <v>50</v>
      </c>
      <c r="DO20" s="3">
        <f>'Shipment (Production)'!DL20</f>
        <v>0</v>
      </c>
      <c r="DP20" s="3">
        <f>'Shipment (Production)'!DM20</f>
        <v>0</v>
      </c>
      <c r="DQ20" s="3">
        <f>'Shipment (Production)'!DO20</f>
        <v>0</v>
      </c>
      <c r="DR20" s="3">
        <f>'Shipment (Production)'!DP20</f>
        <v>0</v>
      </c>
      <c r="DS20" s="80">
        <f t="shared" si="94"/>
        <v>0</v>
      </c>
      <c r="DT20" s="12">
        <f t="shared" si="48"/>
        <v>375</v>
      </c>
      <c r="DU20" s="3">
        <f>'Shipment (Production)'!DQ20</f>
        <v>0</v>
      </c>
      <c r="DV20" s="3">
        <f>'Shipment (Production)'!DR20</f>
        <v>0</v>
      </c>
      <c r="DW20" s="3">
        <f>'Shipment (Production)'!DU20</f>
        <v>20</v>
      </c>
      <c r="DX20" s="3">
        <f>'Shipment (Production)'!DV20</f>
        <v>0</v>
      </c>
      <c r="DY20" s="80">
        <f t="shared" si="18"/>
        <v>20</v>
      </c>
      <c r="DZ20" s="3">
        <f>'Shipment (Production)'!DV20</f>
        <v>0</v>
      </c>
      <c r="EA20" s="3">
        <f>'Shipment (Production)'!DW20</f>
        <v>0</v>
      </c>
      <c r="EB20" s="3">
        <f>'Shipment (Production)'!DZ20</f>
        <v>20</v>
      </c>
      <c r="EC20" s="3">
        <f>'Shipment (Production)'!EA20</f>
        <v>0</v>
      </c>
      <c r="ED20" s="80">
        <f t="shared" si="19"/>
        <v>20</v>
      </c>
      <c r="EE20" s="3">
        <f>'Shipment (Production)'!EA20</f>
        <v>0</v>
      </c>
      <c r="EF20" s="3">
        <f>'Shipment (Production)'!EB20</f>
        <v>0</v>
      </c>
      <c r="EG20" s="3">
        <f>'Shipment (Production)'!EE20</f>
        <v>40.799999999999997</v>
      </c>
      <c r="EH20" s="3">
        <f>'Shipment (Production)'!EF20</f>
        <v>0</v>
      </c>
      <c r="EI20" s="80">
        <f t="shared" si="20"/>
        <v>40.799999999999997</v>
      </c>
      <c r="EJ20" s="3">
        <f>'Shipment (Production)'!EF20</f>
        <v>0</v>
      </c>
      <c r="EK20" s="3">
        <f>'Shipment (Production)'!EG20</f>
        <v>0</v>
      </c>
      <c r="EL20" s="3">
        <f>'Shipment (Production)'!EJ20</f>
        <v>40.799999999999997</v>
      </c>
      <c r="EM20" s="3">
        <f>'Shipment (Production)'!EK20</f>
        <v>0</v>
      </c>
      <c r="EN20" s="80">
        <f t="shared" si="21"/>
        <v>40.799999999999997</v>
      </c>
      <c r="EO20" s="3">
        <f>'Shipment (Production)'!EK20</f>
        <v>0</v>
      </c>
      <c r="EP20" s="3">
        <f>'Shipment (Production)'!EL20</f>
        <v>0</v>
      </c>
      <c r="EQ20" s="3">
        <f>'Shipment (Production)'!EO20</f>
        <v>40.799999999999997</v>
      </c>
      <c r="ER20" s="3">
        <f>'Shipment (Production)'!EP20</f>
        <v>0</v>
      </c>
      <c r="ES20" s="80">
        <f t="shared" si="22"/>
        <v>40.799999999999997</v>
      </c>
      <c r="ET20" s="3">
        <f>'Shipment (Production)'!EP20</f>
        <v>0</v>
      </c>
      <c r="EU20" s="3">
        <f>'Shipment (Production)'!EQ20</f>
        <v>0</v>
      </c>
      <c r="EV20" s="3">
        <f>'Shipment (Production)'!ET20</f>
        <v>40.799999999999997</v>
      </c>
      <c r="EW20" s="3">
        <f>'Shipment (Production)'!EU20</f>
        <v>0</v>
      </c>
      <c r="EX20" s="80">
        <f t="shared" si="23"/>
        <v>40.799999999999997</v>
      </c>
      <c r="EY20" s="3">
        <f>'Shipment (Production)'!EU20</f>
        <v>0</v>
      </c>
      <c r="EZ20" s="3">
        <f>'Shipment (Production)'!EV20</f>
        <v>0</v>
      </c>
      <c r="FA20" s="3">
        <f>'Shipment (Production)'!EY20</f>
        <v>40.799999999999997</v>
      </c>
      <c r="FB20" s="3">
        <f>'Shipment (Production)'!EZ20</f>
        <v>0</v>
      </c>
      <c r="FC20" s="80">
        <f t="shared" si="24"/>
        <v>40.799999999999997</v>
      </c>
      <c r="FD20" s="3">
        <f>'Shipment (Production)'!EZ20</f>
        <v>0</v>
      </c>
      <c r="FE20" s="3">
        <f>'Shipment (Production)'!FA20</f>
        <v>0</v>
      </c>
      <c r="FF20" s="3">
        <f>'Shipment (Production)'!FD20</f>
        <v>40.799999999999997</v>
      </c>
      <c r="FG20" s="3">
        <f>'Shipment (Production)'!FE20</f>
        <v>0</v>
      </c>
      <c r="FH20" s="80">
        <f t="shared" si="25"/>
        <v>40.799999999999997</v>
      </c>
      <c r="FI20" s="3">
        <f>'Shipment (Production)'!FE20</f>
        <v>0</v>
      </c>
      <c r="FJ20" s="3">
        <f>'Shipment (Production)'!FF20</f>
        <v>0</v>
      </c>
      <c r="FK20" s="3">
        <f>'Shipment (Production)'!FI20</f>
        <v>40.799999999999997</v>
      </c>
      <c r="FL20" s="3">
        <f>'Shipment (Production)'!FJ20</f>
        <v>0</v>
      </c>
      <c r="FM20" s="80">
        <f t="shared" si="26"/>
        <v>40.799999999999997</v>
      </c>
      <c r="FN20" s="3">
        <f>'Shipment (Production)'!FJ20</f>
        <v>0</v>
      </c>
      <c r="FO20" s="3">
        <f>'Shipment (Production)'!FK20</f>
        <v>0</v>
      </c>
      <c r="FP20" s="3">
        <f>'Shipment (Production)'!FN20</f>
        <v>30.6</v>
      </c>
      <c r="FQ20" s="3">
        <f>'Shipment (Production)'!FO20</f>
        <v>0</v>
      </c>
      <c r="FR20" s="80">
        <f t="shared" si="27"/>
        <v>30.6</v>
      </c>
      <c r="FS20" s="3">
        <f>'Shipment (Production)'!FO20</f>
        <v>0</v>
      </c>
      <c r="FT20" s="3">
        <f>'Shipment (Production)'!FP20</f>
        <v>0</v>
      </c>
      <c r="FU20" s="3">
        <f>'Shipment (Production)'!FS20</f>
        <v>30.6</v>
      </c>
      <c r="FV20" s="3">
        <f>'Shipment (Production)'!FT20</f>
        <v>0</v>
      </c>
      <c r="FW20" s="80">
        <f t="shared" si="28"/>
        <v>30.6</v>
      </c>
      <c r="FX20" s="3">
        <f>'Shipment (Production)'!FT20</f>
        <v>0</v>
      </c>
      <c r="FY20" s="3">
        <f>'Shipment (Production)'!FU20</f>
        <v>0</v>
      </c>
      <c r="FZ20" s="3">
        <f>'Shipment (Production)'!FX20</f>
        <v>30.6</v>
      </c>
      <c r="GA20" s="3">
        <f>'Shipment (Production)'!FY20</f>
        <v>0</v>
      </c>
      <c r="GB20" s="80">
        <f t="shared" si="29"/>
        <v>30.6</v>
      </c>
      <c r="GC20" s="12">
        <f t="shared" si="30"/>
        <v>417.40000000000009</v>
      </c>
    </row>
    <row r="21" spans="1:185" x14ac:dyDescent="0.35">
      <c r="A21" s="1" t="s">
        <v>16</v>
      </c>
      <c r="B21" s="1" t="s">
        <v>27</v>
      </c>
      <c r="G21" s="80">
        <v>401</v>
      </c>
      <c r="H21" s="3">
        <v>0</v>
      </c>
      <c r="I21" s="3">
        <v>0</v>
      </c>
      <c r="J21" s="3">
        <v>0</v>
      </c>
      <c r="K21" s="3">
        <v>0</v>
      </c>
      <c r="L21" s="80">
        <v>0</v>
      </c>
      <c r="M21" s="3">
        <v>0</v>
      </c>
      <c r="N21" s="3">
        <v>0</v>
      </c>
      <c r="O21" s="3">
        <v>0</v>
      </c>
      <c r="P21" s="3">
        <v>0</v>
      </c>
      <c r="Q21" s="80">
        <v>500</v>
      </c>
      <c r="R21" s="3">
        <v>0</v>
      </c>
      <c r="S21" s="3">
        <v>0</v>
      </c>
      <c r="T21" s="3">
        <v>0</v>
      </c>
      <c r="U21" s="3">
        <v>0</v>
      </c>
      <c r="V21" s="80">
        <v>252</v>
      </c>
      <c r="W21" s="3">
        <v>0</v>
      </c>
      <c r="X21" s="3">
        <v>0</v>
      </c>
      <c r="Y21" s="3">
        <v>0</v>
      </c>
      <c r="Z21" s="3">
        <v>0</v>
      </c>
      <c r="AA21" s="80">
        <v>0</v>
      </c>
      <c r="AB21" s="3">
        <v>0</v>
      </c>
      <c r="AC21" s="3">
        <v>0</v>
      </c>
      <c r="AD21" s="3">
        <v>0</v>
      </c>
      <c r="AE21" s="3">
        <v>0</v>
      </c>
      <c r="AF21" s="80">
        <v>0</v>
      </c>
      <c r="AG21" s="3">
        <v>0</v>
      </c>
      <c r="AH21" s="3">
        <v>0</v>
      </c>
      <c r="AI21" s="3">
        <v>0</v>
      </c>
      <c r="AJ21" s="3">
        <v>0</v>
      </c>
      <c r="AK21" s="80">
        <v>569</v>
      </c>
      <c r="AL21" s="3"/>
      <c r="AM21" s="3"/>
      <c r="AN21" s="3"/>
      <c r="AO21" s="3"/>
      <c r="AP21" s="80">
        <v>805</v>
      </c>
      <c r="AQ21" s="3"/>
      <c r="AR21" s="3"/>
      <c r="AS21" s="3"/>
      <c r="AT21" s="87">
        <v>0</v>
      </c>
      <c r="AU21" s="80">
        <f t="shared" ref="AU21:AU23" si="95">SUM(AQ21:AT21)</f>
        <v>0</v>
      </c>
      <c r="AV21" s="3"/>
      <c r="AW21" s="3"/>
      <c r="AX21" s="3"/>
      <c r="AY21" s="3">
        <v>0</v>
      </c>
      <c r="AZ21" s="80">
        <f t="shared" si="80"/>
        <v>0</v>
      </c>
      <c r="BA21" s="3"/>
      <c r="BB21" s="3"/>
      <c r="BC21" s="3"/>
      <c r="BD21" s="129">
        <v>396</v>
      </c>
      <c r="BE21" s="80">
        <f t="shared" si="81"/>
        <v>396</v>
      </c>
      <c r="BF21" s="3"/>
      <c r="BG21" s="3"/>
      <c r="BH21" s="129">
        <v>249</v>
      </c>
      <c r="BI21" s="114">
        <f>'Shipment (Production)'!BG21</f>
        <v>0</v>
      </c>
      <c r="BJ21" s="80">
        <f t="shared" si="82"/>
        <v>249</v>
      </c>
      <c r="BK21" s="136">
        <f t="shared" si="35"/>
        <v>3172</v>
      </c>
      <c r="BL21" s="84">
        <f>'Shipment (Production)'!BI21</f>
        <v>0</v>
      </c>
      <c r="BM21" s="3"/>
      <c r="BN21" s="3" t="str">
        <f>'Shipment (Production)'!BL21</f>
        <v xml:space="preserve">                            -  </v>
      </c>
      <c r="BO21" s="3">
        <f>'Shipment (Production)'!BM21</f>
        <v>0</v>
      </c>
      <c r="BP21" s="80">
        <f t="shared" si="83"/>
        <v>0</v>
      </c>
      <c r="BQ21" s="3">
        <f>'Shipment (Production)'!BN21</f>
        <v>0</v>
      </c>
      <c r="BR21" s="3">
        <f>'Shipment (Production)'!BO21</f>
        <v>0</v>
      </c>
      <c r="BS21" s="3">
        <f>'Shipment (Production)'!BQ21</f>
        <v>0</v>
      </c>
      <c r="BT21" s="3">
        <f>'Shipment (Production)'!BR21</f>
        <v>0</v>
      </c>
      <c r="BU21" s="80">
        <f t="shared" si="84"/>
        <v>0</v>
      </c>
      <c r="BV21" s="3">
        <f>'Shipment (Production)'!BS21</f>
        <v>463</v>
      </c>
      <c r="BW21" s="3">
        <f>'Shipment (Production)'!BT21</f>
        <v>0</v>
      </c>
      <c r="BX21" s="3">
        <f>'Shipment (Production)'!BV21</f>
        <v>0</v>
      </c>
      <c r="BY21" s="3">
        <f>'Shipment (Production)'!BW21</f>
        <v>0</v>
      </c>
      <c r="BZ21" s="80">
        <f t="shared" si="85"/>
        <v>463</v>
      </c>
      <c r="CA21" s="3">
        <f>'Shipment (Production)'!BX21</f>
        <v>400</v>
      </c>
      <c r="CB21" s="3">
        <f>'Shipment (Production)'!BY21</f>
        <v>0</v>
      </c>
      <c r="CC21" s="3">
        <f>'Shipment (Production)'!CA21</f>
        <v>0</v>
      </c>
      <c r="CD21" s="3">
        <f>'Shipment (Production)'!CB21</f>
        <v>0</v>
      </c>
      <c r="CE21" s="80">
        <f t="shared" si="86"/>
        <v>400</v>
      </c>
      <c r="CF21" s="3">
        <f>'Shipment (Production)'!CC21</f>
        <v>400</v>
      </c>
      <c r="CG21" s="3">
        <f>'Shipment (Production)'!CD21</f>
        <v>0</v>
      </c>
      <c r="CH21" s="3">
        <f>'Shipment (Production)'!CF21</f>
        <v>0</v>
      </c>
      <c r="CI21" s="3">
        <f>'Shipment (Production)'!CG21</f>
        <v>0</v>
      </c>
      <c r="CJ21" s="80">
        <f t="shared" si="87"/>
        <v>400</v>
      </c>
      <c r="CK21" s="3">
        <f>'Shipment (Production)'!CH21</f>
        <v>350</v>
      </c>
      <c r="CL21" s="3">
        <f>'Shipment (Production)'!CI21</f>
        <v>0</v>
      </c>
      <c r="CM21" s="3">
        <f>'Shipment (Production)'!CK21</f>
        <v>0</v>
      </c>
      <c r="CN21" s="3">
        <f>'Shipment (Production)'!CL21</f>
        <v>0</v>
      </c>
      <c r="CO21" s="80">
        <f t="shared" si="88"/>
        <v>350</v>
      </c>
      <c r="CP21" s="3">
        <f>'Shipment (Production)'!CM21</f>
        <v>350</v>
      </c>
      <c r="CQ21" s="3">
        <f>'Shipment (Production)'!CN21</f>
        <v>0</v>
      </c>
      <c r="CR21" s="3">
        <f>'Shipment (Production)'!CP21</f>
        <v>0</v>
      </c>
      <c r="CS21" s="3">
        <f>'Shipment (Production)'!CQ21</f>
        <v>0</v>
      </c>
      <c r="CT21" s="80">
        <f t="shared" si="89"/>
        <v>350</v>
      </c>
      <c r="CU21" s="3">
        <f>'Shipment (Production)'!CR21</f>
        <v>350</v>
      </c>
      <c r="CV21" s="3">
        <f>'Shipment (Production)'!CS21</f>
        <v>0</v>
      </c>
      <c r="CW21" s="3">
        <f>'Shipment (Production)'!CU21</f>
        <v>0</v>
      </c>
      <c r="CX21" s="3">
        <f>'Shipment (Production)'!CV21</f>
        <v>0</v>
      </c>
      <c r="CY21" s="80">
        <f t="shared" si="90"/>
        <v>350</v>
      </c>
      <c r="CZ21" s="3">
        <f>'Shipment (Production)'!CW21</f>
        <v>250</v>
      </c>
      <c r="DA21" s="3">
        <f>'Shipment (Production)'!CX21</f>
        <v>0</v>
      </c>
      <c r="DB21" s="3">
        <f>'Shipment (Production)'!CZ21</f>
        <v>0</v>
      </c>
      <c r="DC21" s="3">
        <f>'Shipment (Production)'!DA21</f>
        <v>200</v>
      </c>
      <c r="DD21" s="80">
        <f t="shared" si="91"/>
        <v>450</v>
      </c>
      <c r="DE21" s="3">
        <f>'Shipment (Production)'!DB21</f>
        <v>0</v>
      </c>
      <c r="DF21" s="3">
        <f>'Shipment (Production)'!DC21</f>
        <v>0</v>
      </c>
      <c r="DG21" s="3">
        <f>'Shipment (Production)'!DE21</f>
        <v>0</v>
      </c>
      <c r="DH21" s="3">
        <f>'Shipment (Production)'!DF21</f>
        <v>200</v>
      </c>
      <c r="DI21" s="80">
        <f t="shared" si="92"/>
        <v>200</v>
      </c>
      <c r="DJ21" s="3">
        <f>'Shipment (Production)'!DG21</f>
        <v>0</v>
      </c>
      <c r="DK21" s="3">
        <f>'Shipment (Production)'!DH21</f>
        <v>0</v>
      </c>
      <c r="DL21" s="3">
        <f>'Shipment (Production)'!DJ21</f>
        <v>0</v>
      </c>
      <c r="DM21" s="3">
        <f>'Shipment (Production)'!DK21</f>
        <v>0</v>
      </c>
      <c r="DN21" s="80">
        <f t="shared" si="93"/>
        <v>0</v>
      </c>
      <c r="DO21" s="3">
        <f>'Shipment (Production)'!DL21</f>
        <v>200</v>
      </c>
      <c r="DP21" s="3">
        <f>'Shipment (Production)'!DM21</f>
        <v>0</v>
      </c>
      <c r="DQ21" s="3">
        <f>'Shipment (Production)'!DO21</f>
        <v>0</v>
      </c>
      <c r="DR21" s="3">
        <f>'Shipment (Production)'!DP21</f>
        <v>0</v>
      </c>
      <c r="DS21" s="80">
        <f t="shared" si="94"/>
        <v>200</v>
      </c>
      <c r="DT21" s="12">
        <f t="shared" si="48"/>
        <v>3163</v>
      </c>
      <c r="DU21" s="3">
        <f>'Shipment (Production)'!DQ21</f>
        <v>0</v>
      </c>
      <c r="DV21" s="3">
        <f>'Shipment (Production)'!DR21</f>
        <v>0</v>
      </c>
      <c r="DW21" s="3">
        <f>'Shipment (Production)'!DU21</f>
        <v>250</v>
      </c>
      <c r="DX21" s="3">
        <f>'Shipment (Production)'!DV21</f>
        <v>0</v>
      </c>
      <c r="DY21" s="80">
        <f t="shared" si="18"/>
        <v>250</v>
      </c>
      <c r="DZ21" s="3">
        <f>'Shipment (Production)'!DV21</f>
        <v>0</v>
      </c>
      <c r="EA21" s="3">
        <f>'Shipment (Production)'!DW21</f>
        <v>0</v>
      </c>
      <c r="EB21" s="3">
        <f>'Shipment (Production)'!DZ21</f>
        <v>250</v>
      </c>
      <c r="EC21" s="3">
        <f>'Shipment (Production)'!EA21</f>
        <v>0</v>
      </c>
      <c r="ED21" s="80">
        <f t="shared" si="19"/>
        <v>250</v>
      </c>
      <c r="EE21" s="3">
        <f>'Shipment (Production)'!EA21</f>
        <v>0</v>
      </c>
      <c r="EF21" s="3">
        <f>'Shipment (Production)'!EB21</f>
        <v>0</v>
      </c>
      <c r="EG21" s="3">
        <f>'Shipment (Production)'!EE21</f>
        <v>306</v>
      </c>
      <c r="EH21" s="3">
        <f>'Shipment (Production)'!EF21</f>
        <v>0</v>
      </c>
      <c r="EI21" s="80">
        <f t="shared" si="20"/>
        <v>306</v>
      </c>
      <c r="EJ21" s="3">
        <f>'Shipment (Production)'!EF21</f>
        <v>0</v>
      </c>
      <c r="EK21" s="3">
        <f>'Shipment (Production)'!EG21</f>
        <v>0</v>
      </c>
      <c r="EL21" s="3">
        <f>'Shipment (Production)'!EJ21</f>
        <v>306</v>
      </c>
      <c r="EM21" s="3">
        <f>'Shipment (Production)'!EK21</f>
        <v>0</v>
      </c>
      <c r="EN21" s="80">
        <f t="shared" si="21"/>
        <v>306</v>
      </c>
      <c r="EO21" s="3">
        <f>'Shipment (Production)'!EK21</f>
        <v>0</v>
      </c>
      <c r="EP21" s="3">
        <f>'Shipment (Production)'!EL21</f>
        <v>0</v>
      </c>
      <c r="EQ21" s="3">
        <f>'Shipment (Production)'!EO21</f>
        <v>357</v>
      </c>
      <c r="ER21" s="3">
        <f>'Shipment (Production)'!EP21</f>
        <v>0</v>
      </c>
      <c r="ES21" s="80">
        <f t="shared" si="22"/>
        <v>357</v>
      </c>
      <c r="ET21" s="3">
        <f>'Shipment (Production)'!EP21</f>
        <v>0</v>
      </c>
      <c r="EU21" s="3">
        <f>'Shipment (Production)'!EQ21</f>
        <v>0</v>
      </c>
      <c r="EV21" s="3">
        <f>'Shipment (Production)'!ET21</f>
        <v>408</v>
      </c>
      <c r="EW21" s="3">
        <f>'Shipment (Production)'!EU21</f>
        <v>0</v>
      </c>
      <c r="EX21" s="80">
        <f t="shared" si="23"/>
        <v>408</v>
      </c>
      <c r="EY21" s="3">
        <f>'Shipment (Production)'!EU21</f>
        <v>0</v>
      </c>
      <c r="EZ21" s="3">
        <f>'Shipment (Production)'!EV21</f>
        <v>0</v>
      </c>
      <c r="FA21" s="3">
        <f>'Shipment (Production)'!EY21</f>
        <v>357</v>
      </c>
      <c r="FB21" s="3">
        <f>'Shipment (Production)'!EZ21</f>
        <v>0</v>
      </c>
      <c r="FC21" s="80">
        <f t="shared" si="24"/>
        <v>357</v>
      </c>
      <c r="FD21" s="3">
        <f>'Shipment (Production)'!EZ21</f>
        <v>0</v>
      </c>
      <c r="FE21" s="3">
        <f>'Shipment (Production)'!FA21</f>
        <v>0</v>
      </c>
      <c r="FF21" s="3">
        <f>'Shipment (Production)'!FD21</f>
        <v>357</v>
      </c>
      <c r="FG21" s="3">
        <f>'Shipment (Production)'!FE21</f>
        <v>0</v>
      </c>
      <c r="FH21" s="80">
        <f t="shared" si="25"/>
        <v>357</v>
      </c>
      <c r="FI21" s="3">
        <f>'Shipment (Production)'!FE21</f>
        <v>0</v>
      </c>
      <c r="FJ21" s="3">
        <f>'Shipment (Production)'!FF21</f>
        <v>0</v>
      </c>
      <c r="FK21" s="3">
        <f>'Shipment (Production)'!FI21</f>
        <v>306</v>
      </c>
      <c r="FL21" s="3">
        <f>'Shipment (Production)'!FJ21</f>
        <v>0</v>
      </c>
      <c r="FM21" s="80">
        <f t="shared" si="26"/>
        <v>306</v>
      </c>
      <c r="FN21" s="3">
        <f>'Shipment (Production)'!FJ21</f>
        <v>0</v>
      </c>
      <c r="FO21" s="3">
        <f>'Shipment (Production)'!FK21</f>
        <v>0</v>
      </c>
      <c r="FP21" s="3">
        <f>'Shipment (Production)'!FN21</f>
        <v>306</v>
      </c>
      <c r="FQ21" s="3">
        <f>'Shipment (Production)'!FO21</f>
        <v>0</v>
      </c>
      <c r="FR21" s="80">
        <f t="shared" si="27"/>
        <v>306</v>
      </c>
      <c r="FS21" s="3">
        <f>'Shipment (Production)'!FO21</f>
        <v>0</v>
      </c>
      <c r="FT21" s="3">
        <f>'Shipment (Production)'!FP21</f>
        <v>0</v>
      </c>
      <c r="FU21" s="3">
        <f>'Shipment (Production)'!FS21</f>
        <v>306</v>
      </c>
      <c r="FV21" s="3">
        <f>'Shipment (Production)'!FT21</f>
        <v>0</v>
      </c>
      <c r="FW21" s="80">
        <f t="shared" si="28"/>
        <v>306</v>
      </c>
      <c r="FX21" s="3">
        <f>'Shipment (Production)'!FT21</f>
        <v>0</v>
      </c>
      <c r="FY21" s="3">
        <f>'Shipment (Production)'!FU21</f>
        <v>0</v>
      </c>
      <c r="FZ21" s="3">
        <f>'Shipment (Production)'!FX21</f>
        <v>306</v>
      </c>
      <c r="GA21" s="3">
        <f>'Shipment (Production)'!FY21</f>
        <v>0</v>
      </c>
      <c r="GB21" s="80">
        <f t="shared" si="29"/>
        <v>306</v>
      </c>
      <c r="GC21" s="12">
        <f t="shared" si="30"/>
        <v>3815</v>
      </c>
    </row>
    <row r="22" spans="1:185" x14ac:dyDescent="0.35">
      <c r="A22" s="1" t="s">
        <v>16</v>
      </c>
      <c r="B22" s="1" t="s">
        <v>28</v>
      </c>
      <c r="G22" s="80">
        <v>0</v>
      </c>
      <c r="H22" s="3">
        <v>0</v>
      </c>
      <c r="I22" s="3">
        <v>0</v>
      </c>
      <c r="J22" s="3">
        <v>0</v>
      </c>
      <c r="K22" s="3">
        <v>0</v>
      </c>
      <c r="L22" s="80">
        <v>0</v>
      </c>
      <c r="M22" s="3">
        <v>0</v>
      </c>
      <c r="N22" s="3">
        <v>0</v>
      </c>
      <c r="O22" s="3">
        <v>0</v>
      </c>
      <c r="P22" s="3">
        <v>0</v>
      </c>
      <c r="Q22" s="80">
        <v>255</v>
      </c>
      <c r="R22" s="3">
        <v>0</v>
      </c>
      <c r="S22" s="3">
        <v>0</v>
      </c>
      <c r="T22" s="3">
        <v>0</v>
      </c>
      <c r="U22" s="3">
        <v>0</v>
      </c>
      <c r="V22" s="80">
        <v>0</v>
      </c>
      <c r="W22" s="3">
        <v>0</v>
      </c>
      <c r="X22" s="3">
        <v>0</v>
      </c>
      <c r="Y22" s="3">
        <v>0</v>
      </c>
      <c r="Z22" s="3">
        <v>0</v>
      </c>
      <c r="AA22" s="80">
        <v>0</v>
      </c>
      <c r="AB22" s="3">
        <v>0</v>
      </c>
      <c r="AC22" s="3">
        <v>0</v>
      </c>
      <c r="AD22" s="3">
        <v>0</v>
      </c>
      <c r="AE22" s="3">
        <v>0</v>
      </c>
      <c r="AF22" s="80">
        <v>0</v>
      </c>
      <c r="AG22" s="3">
        <v>0</v>
      </c>
      <c r="AH22" s="3">
        <v>0</v>
      </c>
      <c r="AI22" s="3">
        <v>0</v>
      </c>
      <c r="AJ22" s="3">
        <v>0</v>
      </c>
      <c r="AK22" s="80">
        <v>0</v>
      </c>
      <c r="AL22" s="3"/>
      <c r="AM22" s="3"/>
      <c r="AN22" s="3"/>
      <c r="AO22" s="3"/>
      <c r="AP22" s="80">
        <v>0</v>
      </c>
      <c r="AQ22" s="3"/>
      <c r="AR22" s="3"/>
      <c r="AS22" s="3"/>
      <c r="AT22" s="87">
        <v>0</v>
      </c>
      <c r="AU22" s="80">
        <f t="shared" si="95"/>
        <v>0</v>
      </c>
      <c r="AV22" s="3"/>
      <c r="AW22" s="3"/>
      <c r="AX22" s="3"/>
      <c r="AY22" s="3">
        <v>0</v>
      </c>
      <c r="AZ22" s="80">
        <f t="shared" si="80"/>
        <v>0</v>
      </c>
      <c r="BA22" s="3"/>
      <c r="BB22" s="3"/>
      <c r="BC22" s="3"/>
      <c r="BD22" s="129">
        <v>0</v>
      </c>
      <c r="BE22" s="80">
        <f t="shared" si="81"/>
        <v>0</v>
      </c>
      <c r="BF22" s="3"/>
      <c r="BG22" s="3"/>
      <c r="BH22" s="129">
        <v>0</v>
      </c>
      <c r="BI22" s="114">
        <f>'Shipment (Production)'!BG22</f>
        <v>0</v>
      </c>
      <c r="BJ22" s="80">
        <f t="shared" si="82"/>
        <v>0</v>
      </c>
      <c r="BK22" s="12">
        <f t="shared" si="35"/>
        <v>255</v>
      </c>
      <c r="BL22" s="84">
        <f>'Shipment (Production)'!BI22</f>
        <v>0</v>
      </c>
      <c r="BM22" s="3"/>
      <c r="BN22" s="3" t="str">
        <f>'Shipment (Production)'!BL22</f>
        <v xml:space="preserve">                            -  </v>
      </c>
      <c r="BO22" s="3">
        <f>'Shipment (Production)'!BM22</f>
        <v>0</v>
      </c>
      <c r="BP22" s="80">
        <f t="shared" si="83"/>
        <v>0</v>
      </c>
      <c r="BQ22" s="3">
        <f>'Shipment (Production)'!BN22</f>
        <v>0</v>
      </c>
      <c r="BR22" s="3">
        <f>'Shipment (Production)'!BO22</f>
        <v>0</v>
      </c>
      <c r="BS22" s="3">
        <f>'Shipment (Production)'!BQ22</f>
        <v>0</v>
      </c>
      <c r="BT22" s="3">
        <f>'Shipment (Production)'!BR22</f>
        <v>0</v>
      </c>
      <c r="BU22" s="80">
        <f t="shared" si="84"/>
        <v>0</v>
      </c>
      <c r="BV22" s="3">
        <f>'Shipment (Production)'!BS22</f>
        <v>0</v>
      </c>
      <c r="BW22" s="3">
        <f>'Shipment (Production)'!BT22</f>
        <v>0</v>
      </c>
      <c r="BX22" s="3">
        <f>'Shipment (Production)'!BV22</f>
        <v>0</v>
      </c>
      <c r="BY22" s="3">
        <f>'Shipment (Production)'!BW22</f>
        <v>0</v>
      </c>
      <c r="BZ22" s="80">
        <f t="shared" si="85"/>
        <v>0</v>
      </c>
      <c r="CA22" s="3">
        <f>'Shipment (Production)'!BX22</f>
        <v>0</v>
      </c>
      <c r="CB22" s="3">
        <f>'Shipment (Production)'!BY22</f>
        <v>0</v>
      </c>
      <c r="CC22" s="3">
        <f>'Shipment (Production)'!CA22</f>
        <v>0</v>
      </c>
      <c r="CD22" s="3">
        <f>'Shipment (Production)'!CB22</f>
        <v>0</v>
      </c>
      <c r="CE22" s="80">
        <f t="shared" si="86"/>
        <v>0</v>
      </c>
      <c r="CF22" s="3">
        <f>'Shipment (Production)'!CC22</f>
        <v>0</v>
      </c>
      <c r="CG22" s="3">
        <f>'Shipment (Production)'!CD22</f>
        <v>0</v>
      </c>
      <c r="CH22" s="3">
        <f>'Shipment (Production)'!CF22</f>
        <v>0</v>
      </c>
      <c r="CI22" s="3">
        <f>'Shipment (Production)'!CG22</f>
        <v>0</v>
      </c>
      <c r="CJ22" s="80">
        <f t="shared" si="87"/>
        <v>0</v>
      </c>
      <c r="CK22" s="3">
        <f>'Shipment (Production)'!CH22</f>
        <v>0</v>
      </c>
      <c r="CL22" s="3">
        <f>'Shipment (Production)'!CI22</f>
        <v>0</v>
      </c>
      <c r="CM22" s="3">
        <f>'Shipment (Production)'!CK22</f>
        <v>150</v>
      </c>
      <c r="CN22" s="3">
        <f>'Shipment (Production)'!CL22</f>
        <v>0</v>
      </c>
      <c r="CO22" s="80">
        <f t="shared" si="88"/>
        <v>150</v>
      </c>
      <c r="CP22" s="3">
        <f>'Shipment (Production)'!CM22</f>
        <v>0</v>
      </c>
      <c r="CQ22" s="3">
        <f>'Shipment (Production)'!CN22</f>
        <v>0</v>
      </c>
      <c r="CR22" s="3">
        <f>'Shipment (Production)'!CP22</f>
        <v>200</v>
      </c>
      <c r="CS22" s="3">
        <f>'Shipment (Production)'!CQ22</f>
        <v>0</v>
      </c>
      <c r="CT22" s="80">
        <f t="shared" si="89"/>
        <v>200</v>
      </c>
      <c r="CU22" s="3">
        <f>'Shipment (Production)'!CR22</f>
        <v>0</v>
      </c>
      <c r="CV22" s="3">
        <f>'Shipment (Production)'!CS22</f>
        <v>0</v>
      </c>
      <c r="CW22" s="3">
        <f>'Shipment (Production)'!CU22</f>
        <v>0</v>
      </c>
      <c r="CX22" s="3">
        <f>'Shipment (Production)'!CV22</f>
        <v>0</v>
      </c>
      <c r="CY22" s="80">
        <f t="shared" si="90"/>
        <v>0</v>
      </c>
      <c r="CZ22" s="3">
        <f>'Shipment (Production)'!CW22</f>
        <v>100</v>
      </c>
      <c r="DA22" s="3">
        <f>'Shipment (Production)'!CX22</f>
        <v>0</v>
      </c>
      <c r="DB22" s="3" t="str">
        <f>'Shipment (Production)'!CZ22</f>
        <v xml:space="preserve">                           -  </v>
      </c>
      <c r="DC22" s="3">
        <f>'Shipment (Production)'!DA22</f>
        <v>0</v>
      </c>
      <c r="DD22" s="80">
        <f t="shared" si="91"/>
        <v>100</v>
      </c>
      <c r="DE22" s="3">
        <f>'Shipment (Production)'!DB22</f>
        <v>0</v>
      </c>
      <c r="DF22" s="3">
        <f>'Shipment (Production)'!DC22</f>
        <v>0</v>
      </c>
      <c r="DG22" s="3">
        <f>'Shipment (Production)'!DE22</f>
        <v>0</v>
      </c>
      <c r="DH22" s="3">
        <f>'Shipment (Production)'!DF22</f>
        <v>120</v>
      </c>
      <c r="DI22" s="80">
        <f t="shared" si="92"/>
        <v>120</v>
      </c>
      <c r="DJ22" s="3">
        <f>'Shipment (Production)'!DG22</f>
        <v>0</v>
      </c>
      <c r="DK22" s="3">
        <f>'Shipment (Production)'!DH22</f>
        <v>0</v>
      </c>
      <c r="DL22" s="3">
        <f>'Shipment (Production)'!DJ22</f>
        <v>0</v>
      </c>
      <c r="DM22" s="3">
        <f>'Shipment (Production)'!DK22</f>
        <v>0</v>
      </c>
      <c r="DN22" s="80">
        <f t="shared" si="93"/>
        <v>0</v>
      </c>
      <c r="DO22" s="3">
        <f>'Shipment (Production)'!DL22</f>
        <v>0</v>
      </c>
      <c r="DP22" s="3">
        <f>'Shipment (Production)'!DM22</f>
        <v>0</v>
      </c>
      <c r="DQ22" s="3">
        <f>'Shipment (Production)'!DO22</f>
        <v>0</v>
      </c>
      <c r="DR22" s="3" t="str">
        <f>'Shipment (Production)'!DP22</f>
        <v xml:space="preserve">                        -  </v>
      </c>
      <c r="DS22" s="80">
        <f t="shared" si="94"/>
        <v>0</v>
      </c>
      <c r="DT22" s="12">
        <f t="shared" si="48"/>
        <v>570</v>
      </c>
      <c r="DU22" s="3">
        <f>'Shipment (Production)'!DQ22</f>
        <v>0</v>
      </c>
      <c r="DV22" s="3">
        <f>'Shipment (Production)'!DR22</f>
        <v>0</v>
      </c>
      <c r="DW22" s="3">
        <f>'Shipment (Production)'!DU22</f>
        <v>30</v>
      </c>
      <c r="DX22" s="3">
        <f>'Shipment (Production)'!DV22</f>
        <v>0</v>
      </c>
      <c r="DY22" s="80">
        <f t="shared" si="18"/>
        <v>30</v>
      </c>
      <c r="DZ22" s="3">
        <f>'Shipment (Production)'!DV22</f>
        <v>0</v>
      </c>
      <c r="EA22" s="3">
        <f>'Shipment (Production)'!DW22</f>
        <v>0</v>
      </c>
      <c r="EB22" s="3">
        <f>'Shipment (Production)'!DZ22</f>
        <v>30</v>
      </c>
      <c r="EC22" s="3">
        <f>'Shipment (Production)'!EA22</f>
        <v>0</v>
      </c>
      <c r="ED22" s="80">
        <f t="shared" si="19"/>
        <v>30</v>
      </c>
      <c r="EE22" s="3">
        <f>'Shipment (Production)'!EA22</f>
        <v>0</v>
      </c>
      <c r="EF22" s="3">
        <f>'Shipment (Production)'!EB22</f>
        <v>0</v>
      </c>
      <c r="EG22" s="3">
        <f>'Shipment (Production)'!EE22</f>
        <v>204</v>
      </c>
      <c r="EH22" s="3">
        <f>'Shipment (Production)'!EF22</f>
        <v>0</v>
      </c>
      <c r="EI22" s="80">
        <f t="shared" si="20"/>
        <v>204</v>
      </c>
      <c r="EJ22" s="3">
        <f>'Shipment (Production)'!EF22</f>
        <v>0</v>
      </c>
      <c r="EK22" s="3">
        <f>'Shipment (Production)'!EG22</f>
        <v>0</v>
      </c>
      <c r="EL22" s="3">
        <f>'Shipment (Production)'!EJ22</f>
        <v>51</v>
      </c>
      <c r="EM22" s="3">
        <f>'Shipment (Production)'!EK22</f>
        <v>0</v>
      </c>
      <c r="EN22" s="80">
        <f t="shared" si="21"/>
        <v>51</v>
      </c>
      <c r="EO22" s="3">
        <f>'Shipment (Production)'!EK22</f>
        <v>0</v>
      </c>
      <c r="EP22" s="3">
        <f>'Shipment (Production)'!EL22</f>
        <v>0</v>
      </c>
      <c r="EQ22" s="3">
        <f>'Shipment (Production)'!EO22</f>
        <v>51</v>
      </c>
      <c r="ER22" s="3">
        <f>'Shipment (Production)'!EP22</f>
        <v>0</v>
      </c>
      <c r="ES22" s="80">
        <f t="shared" si="22"/>
        <v>51</v>
      </c>
      <c r="ET22" s="3">
        <f>'Shipment (Production)'!EP22</f>
        <v>0</v>
      </c>
      <c r="EU22" s="3">
        <f>'Shipment (Production)'!EQ22</f>
        <v>0</v>
      </c>
      <c r="EV22" s="3">
        <f>'Shipment (Production)'!ET22</f>
        <v>51</v>
      </c>
      <c r="EW22" s="3">
        <f>'Shipment (Production)'!EU22</f>
        <v>0</v>
      </c>
      <c r="EX22" s="80">
        <f t="shared" si="23"/>
        <v>51</v>
      </c>
      <c r="EY22" s="3">
        <f>'Shipment (Production)'!EU22</f>
        <v>0</v>
      </c>
      <c r="EZ22" s="3">
        <f>'Shipment (Production)'!EV22</f>
        <v>0</v>
      </c>
      <c r="FA22" s="3">
        <f>'Shipment (Production)'!EY22</f>
        <v>51</v>
      </c>
      <c r="FB22" s="3">
        <f>'Shipment (Production)'!EZ22</f>
        <v>0</v>
      </c>
      <c r="FC22" s="80">
        <f t="shared" si="24"/>
        <v>51</v>
      </c>
      <c r="FD22" s="3">
        <f>'Shipment (Production)'!EZ22</f>
        <v>0</v>
      </c>
      <c r="FE22" s="3">
        <f>'Shipment (Production)'!FA22</f>
        <v>0</v>
      </c>
      <c r="FF22" s="3">
        <f>'Shipment (Production)'!FD22</f>
        <v>51</v>
      </c>
      <c r="FG22" s="3">
        <f>'Shipment (Production)'!FE22</f>
        <v>0</v>
      </c>
      <c r="FH22" s="80">
        <f t="shared" si="25"/>
        <v>51</v>
      </c>
      <c r="FI22" s="3">
        <f>'Shipment (Production)'!FE22</f>
        <v>0</v>
      </c>
      <c r="FJ22" s="3">
        <f>'Shipment (Production)'!FF22</f>
        <v>0</v>
      </c>
      <c r="FK22" s="3">
        <f>'Shipment (Production)'!FI22</f>
        <v>51</v>
      </c>
      <c r="FL22" s="3">
        <f>'Shipment (Production)'!FJ22</f>
        <v>0</v>
      </c>
      <c r="FM22" s="80">
        <f t="shared" si="26"/>
        <v>51</v>
      </c>
      <c r="FN22" s="3">
        <f>'Shipment (Production)'!FJ22</f>
        <v>0</v>
      </c>
      <c r="FO22" s="3">
        <f>'Shipment (Production)'!FK22</f>
        <v>0</v>
      </c>
      <c r="FP22" s="3">
        <f>'Shipment (Production)'!FN22</f>
        <v>40.799999999999997</v>
      </c>
      <c r="FQ22" s="3">
        <f>'Shipment (Production)'!FO22</f>
        <v>0</v>
      </c>
      <c r="FR22" s="80">
        <f t="shared" si="27"/>
        <v>40.799999999999997</v>
      </c>
      <c r="FS22" s="3">
        <f>'Shipment (Production)'!FO22</f>
        <v>0</v>
      </c>
      <c r="FT22" s="3">
        <f>'Shipment (Production)'!FP22</f>
        <v>0</v>
      </c>
      <c r="FU22" s="3">
        <f>'Shipment (Production)'!FS22</f>
        <v>40.799999999999997</v>
      </c>
      <c r="FV22" s="3">
        <f>'Shipment (Production)'!FT22</f>
        <v>0</v>
      </c>
      <c r="FW22" s="80">
        <f t="shared" si="28"/>
        <v>40.799999999999997</v>
      </c>
      <c r="FX22" s="3">
        <f>'Shipment (Production)'!FT22</f>
        <v>0</v>
      </c>
      <c r="FY22" s="3">
        <f>'Shipment (Production)'!FU22</f>
        <v>0</v>
      </c>
      <c r="FZ22" s="3">
        <f>'Shipment (Production)'!FX22</f>
        <v>40.799999999999997</v>
      </c>
      <c r="GA22" s="3">
        <f>'Shipment (Production)'!FY22</f>
        <v>0</v>
      </c>
      <c r="GB22" s="80">
        <f t="shared" si="29"/>
        <v>40.799999999999997</v>
      </c>
      <c r="GC22" s="12">
        <f t="shared" si="30"/>
        <v>692.39999999999986</v>
      </c>
    </row>
    <row r="23" spans="1:185" x14ac:dyDescent="0.35">
      <c r="A23" s="1" t="s">
        <v>16</v>
      </c>
      <c r="B23" s="1" t="s">
        <v>29</v>
      </c>
      <c r="G23" s="80">
        <v>0</v>
      </c>
      <c r="H23" s="3">
        <v>0</v>
      </c>
      <c r="I23" s="3">
        <v>0</v>
      </c>
      <c r="J23" s="3">
        <v>0</v>
      </c>
      <c r="K23" s="3">
        <v>0</v>
      </c>
      <c r="L23" s="80">
        <v>451</v>
      </c>
      <c r="M23" s="3">
        <v>0</v>
      </c>
      <c r="N23" s="3">
        <v>0</v>
      </c>
      <c r="O23" s="3">
        <v>0</v>
      </c>
      <c r="P23" s="3">
        <v>0</v>
      </c>
      <c r="Q23" s="80">
        <v>1185</v>
      </c>
      <c r="R23" s="3">
        <v>0</v>
      </c>
      <c r="S23" s="3">
        <v>0</v>
      </c>
      <c r="T23" s="3">
        <v>0</v>
      </c>
      <c r="U23" s="3">
        <v>0</v>
      </c>
      <c r="V23" s="80">
        <v>0</v>
      </c>
      <c r="W23" s="3">
        <v>0</v>
      </c>
      <c r="X23" s="3">
        <v>0</v>
      </c>
      <c r="Y23" s="3">
        <v>0</v>
      </c>
      <c r="Z23" s="3">
        <v>0</v>
      </c>
      <c r="AA23" s="80">
        <v>0</v>
      </c>
      <c r="AB23" s="3">
        <v>0</v>
      </c>
      <c r="AC23" s="3">
        <v>0</v>
      </c>
      <c r="AD23" s="3">
        <v>0</v>
      </c>
      <c r="AE23" s="3">
        <v>0</v>
      </c>
      <c r="AF23" s="80">
        <v>0</v>
      </c>
      <c r="AG23" s="3">
        <v>0</v>
      </c>
      <c r="AH23" s="3">
        <v>0</v>
      </c>
      <c r="AI23" s="3">
        <v>0</v>
      </c>
      <c r="AJ23" s="3">
        <v>0</v>
      </c>
      <c r="AK23" s="80">
        <v>688</v>
      </c>
      <c r="AL23" s="3"/>
      <c r="AM23" s="3"/>
      <c r="AN23" s="3"/>
      <c r="AO23" s="3"/>
      <c r="AP23" s="80">
        <v>397</v>
      </c>
      <c r="AQ23" s="3"/>
      <c r="AR23" s="3"/>
      <c r="AS23" s="3"/>
      <c r="AT23" s="87">
        <v>602</v>
      </c>
      <c r="AU23" s="80">
        <f t="shared" si="95"/>
        <v>602</v>
      </c>
      <c r="AV23" s="3"/>
      <c r="AW23" s="3"/>
      <c r="AX23" s="3"/>
      <c r="AY23" s="3">
        <v>0</v>
      </c>
      <c r="AZ23" s="80">
        <f t="shared" si="80"/>
        <v>0</v>
      </c>
      <c r="BA23" s="3"/>
      <c r="BB23" s="3"/>
      <c r="BC23" s="3"/>
      <c r="BD23" s="129">
        <v>406</v>
      </c>
      <c r="BE23" s="80">
        <f t="shared" si="81"/>
        <v>406</v>
      </c>
      <c r="BF23" s="3"/>
      <c r="BG23" s="3"/>
      <c r="BH23" s="129">
        <v>541</v>
      </c>
      <c r="BI23" s="114">
        <f>'Shipment (Production)'!BG23</f>
        <v>0</v>
      </c>
      <c r="BJ23" s="80">
        <f t="shared" si="82"/>
        <v>541</v>
      </c>
      <c r="BK23" s="12">
        <f t="shared" si="35"/>
        <v>4270</v>
      </c>
      <c r="BL23" s="84">
        <f>'Shipment (Production)'!BI23</f>
        <v>0</v>
      </c>
      <c r="BM23" s="3"/>
      <c r="BN23" s="3" t="str">
        <f>'Shipment (Production)'!BL23</f>
        <v xml:space="preserve">                            -  </v>
      </c>
      <c r="BO23" s="3">
        <f>'Shipment (Production)'!BM23</f>
        <v>0</v>
      </c>
      <c r="BP23" s="80">
        <f t="shared" si="83"/>
        <v>0</v>
      </c>
      <c r="BQ23" s="3">
        <f>'Shipment (Production)'!BN23</f>
        <v>0</v>
      </c>
      <c r="BR23" s="3">
        <f>'Shipment (Production)'!BO23</f>
        <v>0</v>
      </c>
      <c r="BS23" s="3">
        <f>'Shipment (Production)'!BQ23</f>
        <v>0</v>
      </c>
      <c r="BT23" s="3">
        <f>'Shipment (Production)'!BR23</f>
        <v>0</v>
      </c>
      <c r="BU23" s="80">
        <f t="shared" si="84"/>
        <v>0</v>
      </c>
      <c r="BV23" s="3">
        <f>'Shipment (Production)'!BS23</f>
        <v>544</v>
      </c>
      <c r="BW23" s="3">
        <f>'Shipment (Production)'!BT23</f>
        <v>0</v>
      </c>
      <c r="BX23" s="3">
        <f>'Shipment (Production)'!BV23</f>
        <v>0</v>
      </c>
      <c r="BY23" s="3">
        <f>'Shipment (Production)'!BW23</f>
        <v>0</v>
      </c>
      <c r="BZ23" s="80">
        <f t="shared" si="85"/>
        <v>544</v>
      </c>
      <c r="CA23" s="3">
        <f>'Shipment (Production)'!BX23</f>
        <v>450</v>
      </c>
      <c r="CB23" s="3">
        <f>'Shipment (Production)'!BY23</f>
        <v>0</v>
      </c>
      <c r="CC23" s="3">
        <f>'Shipment (Production)'!CA23</f>
        <v>0</v>
      </c>
      <c r="CD23" s="3">
        <f>'Shipment (Production)'!CB23</f>
        <v>0</v>
      </c>
      <c r="CE23" s="80">
        <f t="shared" si="86"/>
        <v>450</v>
      </c>
      <c r="CF23" s="3">
        <f>'Shipment (Production)'!CC23</f>
        <v>300</v>
      </c>
      <c r="CG23" s="3">
        <f>'Shipment (Production)'!CD23</f>
        <v>0</v>
      </c>
      <c r="CH23" s="3">
        <f>'Shipment (Production)'!CF23</f>
        <v>0</v>
      </c>
      <c r="CI23" s="3">
        <f>'Shipment (Production)'!CG23</f>
        <v>0</v>
      </c>
      <c r="CJ23" s="80">
        <f t="shared" si="87"/>
        <v>300</v>
      </c>
      <c r="CK23" s="3">
        <f>'Shipment (Production)'!CH23</f>
        <v>500</v>
      </c>
      <c r="CL23" s="3">
        <f>'Shipment (Production)'!CI23</f>
        <v>0</v>
      </c>
      <c r="CM23" s="3">
        <f>'Shipment (Production)'!CK23</f>
        <v>0</v>
      </c>
      <c r="CN23" s="3">
        <f>'Shipment (Production)'!CL23</f>
        <v>0</v>
      </c>
      <c r="CO23" s="80">
        <f t="shared" si="88"/>
        <v>500</v>
      </c>
      <c r="CP23" s="3">
        <f>'Shipment (Production)'!CM23</f>
        <v>400</v>
      </c>
      <c r="CQ23" s="3">
        <f>'Shipment (Production)'!CN23</f>
        <v>0</v>
      </c>
      <c r="CR23" s="3">
        <f>'Shipment (Production)'!CP23</f>
        <v>0</v>
      </c>
      <c r="CS23" s="3">
        <f>'Shipment (Production)'!CQ23</f>
        <v>0</v>
      </c>
      <c r="CT23" s="80">
        <f t="shared" si="89"/>
        <v>400</v>
      </c>
      <c r="CU23" s="3">
        <f>'Shipment (Production)'!CR23</f>
        <v>250</v>
      </c>
      <c r="CV23" s="3">
        <f>'Shipment (Production)'!CS23</f>
        <v>0</v>
      </c>
      <c r="CW23" s="3">
        <f>'Shipment (Production)'!CU23</f>
        <v>0</v>
      </c>
      <c r="CX23" s="3">
        <f>'Shipment (Production)'!CV23</f>
        <v>0</v>
      </c>
      <c r="CY23" s="80">
        <f t="shared" si="90"/>
        <v>250</v>
      </c>
      <c r="CZ23" s="3">
        <f>'Shipment (Production)'!CW23</f>
        <v>250</v>
      </c>
      <c r="DA23" s="3">
        <f>'Shipment (Production)'!CX23</f>
        <v>0</v>
      </c>
      <c r="DB23" s="3">
        <f>'Shipment (Production)'!CZ23</f>
        <v>0</v>
      </c>
      <c r="DC23" s="3">
        <f>'Shipment (Production)'!DA23</f>
        <v>250</v>
      </c>
      <c r="DD23" s="80">
        <f t="shared" si="91"/>
        <v>500</v>
      </c>
      <c r="DE23" s="3">
        <f>'Shipment (Production)'!DB23</f>
        <v>0</v>
      </c>
      <c r="DF23" s="3">
        <f>'Shipment (Production)'!DC23</f>
        <v>0</v>
      </c>
      <c r="DG23" s="3">
        <f>'Shipment (Production)'!DE23</f>
        <v>0</v>
      </c>
      <c r="DH23" s="3">
        <f>'Shipment (Production)'!DF23</f>
        <v>0</v>
      </c>
      <c r="DI23" s="80">
        <f t="shared" si="92"/>
        <v>0</v>
      </c>
      <c r="DJ23" s="3">
        <f>'Shipment (Production)'!DG23</f>
        <v>250</v>
      </c>
      <c r="DK23" s="3">
        <f>'Shipment (Production)'!DH23</f>
        <v>0</v>
      </c>
      <c r="DL23" s="3">
        <f>'Shipment (Production)'!DJ23</f>
        <v>0</v>
      </c>
      <c r="DM23" s="3">
        <f>'Shipment (Production)'!DK23</f>
        <v>0</v>
      </c>
      <c r="DN23" s="80">
        <f t="shared" si="93"/>
        <v>250</v>
      </c>
      <c r="DO23" s="3">
        <f>'Shipment (Production)'!DL23</f>
        <v>250</v>
      </c>
      <c r="DP23" s="3">
        <f>'Shipment (Production)'!DM23</f>
        <v>0</v>
      </c>
      <c r="DQ23" s="3">
        <f>'Shipment (Production)'!DO23</f>
        <v>0</v>
      </c>
      <c r="DR23" s="3">
        <f>'Shipment (Production)'!DP23</f>
        <v>250</v>
      </c>
      <c r="DS23" s="80">
        <f t="shared" si="94"/>
        <v>500</v>
      </c>
      <c r="DT23" s="12">
        <f t="shared" si="48"/>
        <v>3694</v>
      </c>
      <c r="DU23" s="3">
        <f>'Shipment (Production)'!DQ23</f>
        <v>0</v>
      </c>
      <c r="DV23" s="3">
        <f>'Shipment (Production)'!DR23</f>
        <v>0</v>
      </c>
      <c r="DW23" s="3">
        <f>'Shipment (Production)'!DU23</f>
        <v>400</v>
      </c>
      <c r="DX23" s="3">
        <f>'Shipment (Production)'!DV23</f>
        <v>0</v>
      </c>
      <c r="DY23" s="80">
        <f t="shared" si="18"/>
        <v>400</v>
      </c>
      <c r="DZ23" s="3">
        <f>'Shipment (Production)'!DV23</f>
        <v>0</v>
      </c>
      <c r="EA23" s="3">
        <f>'Shipment (Production)'!DW23</f>
        <v>0</v>
      </c>
      <c r="EB23" s="3">
        <f>'Shipment (Production)'!DZ23</f>
        <v>300</v>
      </c>
      <c r="EC23" s="3">
        <f>'Shipment (Production)'!EA23</f>
        <v>0</v>
      </c>
      <c r="ED23" s="80">
        <f t="shared" si="19"/>
        <v>300</v>
      </c>
      <c r="EE23" s="3">
        <f>'Shipment (Production)'!EA23</f>
        <v>0</v>
      </c>
      <c r="EF23" s="3">
        <f>'Shipment (Production)'!EB23</f>
        <v>0</v>
      </c>
      <c r="EG23" s="3">
        <f>'Shipment (Production)'!EE23</f>
        <v>306</v>
      </c>
      <c r="EH23" s="3">
        <f>'Shipment (Production)'!EF23</f>
        <v>0</v>
      </c>
      <c r="EI23" s="80">
        <f t="shared" si="20"/>
        <v>306</v>
      </c>
      <c r="EJ23" s="3">
        <f>'Shipment (Production)'!EF23</f>
        <v>0</v>
      </c>
      <c r="EK23" s="3">
        <f>'Shipment (Production)'!EG23</f>
        <v>0</v>
      </c>
      <c r="EL23" s="3">
        <f>'Shipment (Production)'!EJ23</f>
        <v>459</v>
      </c>
      <c r="EM23" s="3">
        <f>'Shipment (Production)'!EK23</f>
        <v>0</v>
      </c>
      <c r="EN23" s="80">
        <f t="shared" si="21"/>
        <v>459</v>
      </c>
      <c r="EO23" s="3">
        <f>'Shipment (Production)'!EK23</f>
        <v>0</v>
      </c>
      <c r="EP23" s="3">
        <f>'Shipment (Production)'!EL23</f>
        <v>0</v>
      </c>
      <c r="EQ23" s="3">
        <f>'Shipment (Production)'!EO23</f>
        <v>510</v>
      </c>
      <c r="ER23" s="3">
        <f>'Shipment (Production)'!EP23</f>
        <v>0</v>
      </c>
      <c r="ES23" s="80">
        <f t="shared" si="22"/>
        <v>510</v>
      </c>
      <c r="ET23" s="3">
        <f>'Shipment (Production)'!EP23</f>
        <v>0</v>
      </c>
      <c r="EU23" s="3">
        <f>'Shipment (Production)'!EQ23</f>
        <v>0</v>
      </c>
      <c r="EV23" s="3">
        <f>'Shipment (Production)'!ET23</f>
        <v>510</v>
      </c>
      <c r="EW23" s="3">
        <f>'Shipment (Production)'!EU23</f>
        <v>0</v>
      </c>
      <c r="EX23" s="80">
        <f t="shared" si="23"/>
        <v>510</v>
      </c>
      <c r="EY23" s="3">
        <f>'Shipment (Production)'!EU23</f>
        <v>0</v>
      </c>
      <c r="EZ23" s="3">
        <f>'Shipment (Production)'!EV23</f>
        <v>0</v>
      </c>
      <c r="FA23" s="3">
        <f>'Shipment (Production)'!EY23</f>
        <v>510</v>
      </c>
      <c r="FB23" s="3">
        <f>'Shipment (Production)'!EZ23</f>
        <v>0</v>
      </c>
      <c r="FC23" s="80">
        <f t="shared" si="24"/>
        <v>510</v>
      </c>
      <c r="FD23" s="3">
        <f>'Shipment (Production)'!EZ23</f>
        <v>0</v>
      </c>
      <c r="FE23" s="3">
        <f>'Shipment (Production)'!FA23</f>
        <v>0</v>
      </c>
      <c r="FF23" s="3">
        <f>'Shipment (Production)'!FD23</f>
        <v>510</v>
      </c>
      <c r="FG23" s="3">
        <f>'Shipment (Production)'!FE23</f>
        <v>0</v>
      </c>
      <c r="FH23" s="80">
        <f t="shared" si="25"/>
        <v>510</v>
      </c>
      <c r="FI23" s="3">
        <f>'Shipment (Production)'!FE23</f>
        <v>0</v>
      </c>
      <c r="FJ23" s="3">
        <f>'Shipment (Production)'!FF23</f>
        <v>0</v>
      </c>
      <c r="FK23" s="3">
        <f>'Shipment (Production)'!FI23</f>
        <v>408</v>
      </c>
      <c r="FL23" s="3">
        <f>'Shipment (Production)'!FJ23</f>
        <v>0</v>
      </c>
      <c r="FM23" s="80">
        <f t="shared" si="26"/>
        <v>408</v>
      </c>
      <c r="FN23" s="3">
        <f>'Shipment (Production)'!FJ23</f>
        <v>0</v>
      </c>
      <c r="FO23" s="3">
        <f>'Shipment (Production)'!FK23</f>
        <v>0</v>
      </c>
      <c r="FP23" s="3">
        <f>'Shipment (Production)'!FN23</f>
        <v>357</v>
      </c>
      <c r="FQ23" s="3">
        <f>'Shipment (Production)'!FO23</f>
        <v>0</v>
      </c>
      <c r="FR23" s="80">
        <f t="shared" si="27"/>
        <v>357</v>
      </c>
      <c r="FS23" s="3">
        <f>'Shipment (Production)'!FO23</f>
        <v>0</v>
      </c>
      <c r="FT23" s="3">
        <f>'Shipment (Production)'!FP23</f>
        <v>0</v>
      </c>
      <c r="FU23" s="3">
        <f>'Shipment (Production)'!FS23</f>
        <v>255</v>
      </c>
      <c r="FV23" s="3">
        <f>'Shipment (Production)'!FT23</f>
        <v>0</v>
      </c>
      <c r="FW23" s="80">
        <f t="shared" si="28"/>
        <v>255</v>
      </c>
      <c r="FX23" s="3">
        <f>'Shipment (Production)'!FT23</f>
        <v>0</v>
      </c>
      <c r="FY23" s="3">
        <f>'Shipment (Production)'!FU23</f>
        <v>0</v>
      </c>
      <c r="FZ23" s="3">
        <f>'Shipment (Production)'!FX23</f>
        <v>255</v>
      </c>
      <c r="GA23" s="3">
        <f>'Shipment (Production)'!FY23</f>
        <v>0</v>
      </c>
      <c r="GB23" s="80">
        <f t="shared" si="29"/>
        <v>255</v>
      </c>
      <c r="GC23" s="12">
        <f t="shared" si="30"/>
        <v>4780</v>
      </c>
    </row>
    <row r="24" spans="1:185" x14ac:dyDescent="0.35">
      <c r="A24" s="1" t="s">
        <v>16</v>
      </c>
      <c r="B24" s="1" t="s">
        <v>30</v>
      </c>
      <c r="G24" s="80">
        <v>10003</v>
      </c>
      <c r="H24" s="3">
        <v>0</v>
      </c>
      <c r="I24" s="3">
        <v>0</v>
      </c>
      <c r="J24" s="3">
        <v>0</v>
      </c>
      <c r="K24" s="3">
        <v>0</v>
      </c>
      <c r="L24" s="80">
        <v>4200</v>
      </c>
      <c r="M24" s="3">
        <v>0</v>
      </c>
      <c r="N24" s="3">
        <v>0</v>
      </c>
      <c r="O24" s="3">
        <v>0</v>
      </c>
      <c r="P24" s="3">
        <v>0</v>
      </c>
      <c r="Q24" s="80">
        <v>6348</v>
      </c>
      <c r="R24" s="3">
        <v>0</v>
      </c>
      <c r="S24" s="3">
        <v>0</v>
      </c>
      <c r="T24" s="3">
        <v>0</v>
      </c>
      <c r="U24" s="3">
        <v>0</v>
      </c>
      <c r="V24" s="80">
        <v>6070</v>
      </c>
      <c r="W24" s="3">
        <v>0</v>
      </c>
      <c r="X24" s="3">
        <v>0</v>
      </c>
      <c r="Y24" s="3">
        <v>0</v>
      </c>
      <c r="Z24" s="3">
        <v>0</v>
      </c>
      <c r="AA24" s="80">
        <v>0</v>
      </c>
      <c r="AB24" s="3">
        <v>0</v>
      </c>
      <c r="AC24" s="3">
        <v>0</v>
      </c>
      <c r="AD24" s="3">
        <v>0</v>
      </c>
      <c r="AE24" s="3">
        <v>0</v>
      </c>
      <c r="AF24" s="80">
        <v>5001</v>
      </c>
      <c r="AG24" s="3">
        <v>0</v>
      </c>
      <c r="AH24" s="3">
        <v>0</v>
      </c>
      <c r="AI24" s="3">
        <v>0</v>
      </c>
      <c r="AJ24" s="3">
        <v>0</v>
      </c>
      <c r="AK24" s="80">
        <v>6704</v>
      </c>
      <c r="AL24" s="3"/>
      <c r="AM24" s="3"/>
      <c r="AN24" s="3"/>
      <c r="AO24" s="3"/>
      <c r="AP24" s="80">
        <v>7002</v>
      </c>
      <c r="AQ24" s="3"/>
      <c r="AR24" s="3"/>
      <c r="AS24" s="3"/>
      <c r="AT24" s="110">
        <v>8000</v>
      </c>
      <c r="AU24" s="80">
        <f t="shared" ref="AU24:AU32" si="96">SUM(AQ24:AT24)</f>
        <v>8000</v>
      </c>
      <c r="AV24" s="3"/>
      <c r="AW24" s="3"/>
      <c r="AX24" s="3"/>
      <c r="AY24" s="3">
        <v>6000</v>
      </c>
      <c r="AZ24" s="80">
        <f t="shared" si="80"/>
        <v>6000</v>
      </c>
      <c r="BA24" s="3"/>
      <c r="BB24" s="3"/>
      <c r="BC24" s="3"/>
      <c r="BD24" s="129">
        <v>12957</v>
      </c>
      <c r="BE24" s="80">
        <f t="shared" ref="BE24:BE32" si="97">SUM(BA24:BD24)</f>
        <v>12957</v>
      </c>
      <c r="BF24" s="3"/>
      <c r="BG24" s="3"/>
      <c r="BH24" s="129">
        <v>3584</v>
      </c>
      <c r="BI24" s="114">
        <f>'Shipment (Production)'!BG24</f>
        <v>0</v>
      </c>
      <c r="BJ24" s="80">
        <f t="shared" ref="BJ24:BJ32" si="98">SUM(BF24:BI24)</f>
        <v>3584</v>
      </c>
      <c r="BK24" s="12">
        <f t="shared" si="35"/>
        <v>75869</v>
      </c>
      <c r="BL24" s="84">
        <f>'Shipment (Production)'!BI24</f>
        <v>0</v>
      </c>
      <c r="BM24" s="3">
        <v>2500</v>
      </c>
      <c r="BN24" s="3">
        <v>4000</v>
      </c>
      <c r="BO24" s="3">
        <v>524</v>
      </c>
      <c r="BP24" s="80">
        <f t="shared" si="83"/>
        <v>7024</v>
      </c>
      <c r="BQ24" s="3"/>
      <c r="BR24" s="3">
        <f>'Shipment (Production)'!BO24</f>
        <v>0</v>
      </c>
      <c r="BS24" s="3">
        <f>'Shipment (Production)'!BQ24</f>
        <v>4000</v>
      </c>
      <c r="BT24" s="3">
        <f>'Shipment (Production)'!BR24</f>
        <v>4001</v>
      </c>
      <c r="BU24" s="80">
        <f t="shared" ref="BU24:BU32" si="99">SUM(BQ24:BT24)</f>
        <v>8001</v>
      </c>
      <c r="BV24" s="3">
        <f>'Shipment (Production)'!BS24</f>
        <v>0</v>
      </c>
      <c r="BW24" s="3">
        <f>'Shipment (Production)'!BT24</f>
        <v>0</v>
      </c>
      <c r="BX24" s="3">
        <f>'Shipment (Production)'!BV24</f>
        <v>4000</v>
      </c>
      <c r="BY24" s="3">
        <f>'Shipment (Production)'!BW24</f>
        <v>4000</v>
      </c>
      <c r="BZ24" s="80">
        <f t="shared" ref="BZ24" si="100">SUM(BV24:BY24)</f>
        <v>8000</v>
      </c>
      <c r="CA24" s="3">
        <f>'Shipment (Production)'!BX24</f>
        <v>0</v>
      </c>
      <c r="CB24" s="3">
        <f>'Shipment (Production)'!BY24</f>
        <v>0</v>
      </c>
      <c r="CC24" s="3">
        <f>'Shipment (Production)'!CA24</f>
        <v>4000</v>
      </c>
      <c r="CD24" s="3">
        <f>'Shipment (Production)'!CB24</f>
        <v>4000</v>
      </c>
      <c r="CE24" s="80">
        <f t="shared" si="86"/>
        <v>8000</v>
      </c>
      <c r="CF24" s="3">
        <f>'Shipment (Production)'!CC24</f>
        <v>0</v>
      </c>
      <c r="CG24" s="3">
        <f>'Shipment (Production)'!CD24</f>
        <v>0</v>
      </c>
      <c r="CH24" s="3">
        <f>'Shipment (Production)'!CF24</f>
        <v>4000</v>
      </c>
      <c r="CI24" s="3">
        <f>'Shipment (Production)'!CG24</f>
        <v>4000</v>
      </c>
      <c r="CJ24" s="80">
        <f t="shared" ref="CJ24" si="101">SUM(CF24:CI24)</f>
        <v>8000</v>
      </c>
      <c r="CK24" s="3">
        <f>'Shipment (Production)'!CH24</f>
        <v>0</v>
      </c>
      <c r="CL24" s="3">
        <f>'Shipment (Production)'!CI24</f>
        <v>0</v>
      </c>
      <c r="CM24" s="3">
        <f>'Shipment (Production)'!CK24</f>
        <v>4000</v>
      </c>
      <c r="CN24" s="3">
        <f>'Shipment (Production)'!CL24</f>
        <v>4000</v>
      </c>
      <c r="CO24" s="80">
        <f t="shared" ref="CO24" si="102">SUM(CK24:CN24)</f>
        <v>8000</v>
      </c>
      <c r="CP24" s="3">
        <f>'Shipment (Production)'!CM24</f>
        <v>0</v>
      </c>
      <c r="CQ24" s="3">
        <f>'Shipment (Production)'!CN24</f>
        <v>0</v>
      </c>
      <c r="CR24" s="3">
        <f>'Shipment (Production)'!CP24</f>
        <v>4000</v>
      </c>
      <c r="CS24" s="3">
        <f>'Shipment (Production)'!CQ24</f>
        <v>4000</v>
      </c>
      <c r="CT24" s="80">
        <f t="shared" ref="CT24" si="103">SUM(CP24:CS24)</f>
        <v>8000</v>
      </c>
      <c r="CU24" s="3">
        <f>'Shipment (Production)'!CR24</f>
        <v>0</v>
      </c>
      <c r="CV24" s="3">
        <f>'Shipment (Production)'!CS24</f>
        <v>0</v>
      </c>
      <c r="CW24" s="3">
        <f>'Shipment (Production)'!CU24</f>
        <v>4000</v>
      </c>
      <c r="CX24" s="3">
        <f>'Shipment (Production)'!CV24</f>
        <v>4000</v>
      </c>
      <c r="CY24" s="80">
        <f t="shared" ref="CY24" si="104">SUM(CU24:CX24)</f>
        <v>8000</v>
      </c>
      <c r="CZ24" s="3">
        <f>'Shipment (Production)'!CW24</f>
        <v>0</v>
      </c>
      <c r="DA24" s="3">
        <f>'Shipment (Production)'!CX24</f>
        <v>0</v>
      </c>
      <c r="DB24" s="3">
        <f>'Shipment (Production)'!CZ24</f>
        <v>4000</v>
      </c>
      <c r="DC24" s="3">
        <f>'Shipment (Production)'!DA24</f>
        <v>5000</v>
      </c>
      <c r="DD24" s="80">
        <f t="shared" ref="DD24" si="105">SUM(CZ24:DC24)</f>
        <v>9000</v>
      </c>
      <c r="DE24" s="3">
        <f>'Shipment (Production)'!DB24</f>
        <v>0</v>
      </c>
      <c r="DF24" s="3">
        <f>'Shipment (Production)'!DC24</f>
        <v>0</v>
      </c>
      <c r="DG24" s="3">
        <f>'Shipment (Production)'!DE24</f>
        <v>4000</v>
      </c>
      <c r="DH24" s="3">
        <f>'Shipment (Production)'!DF24</f>
        <v>4000</v>
      </c>
      <c r="DI24" s="80">
        <f t="shared" ref="DI24" si="106">SUM(DE24:DH24)</f>
        <v>8000</v>
      </c>
      <c r="DJ24" s="3">
        <f>'Shipment (Production)'!DG24</f>
        <v>0</v>
      </c>
      <c r="DK24" s="3">
        <f>'Shipment (Production)'!DH24</f>
        <v>0</v>
      </c>
      <c r="DL24" s="3">
        <f>'Shipment (Production)'!DJ24</f>
        <v>4000</v>
      </c>
      <c r="DM24" s="3">
        <f>'Shipment (Production)'!DK24</f>
        <v>4000</v>
      </c>
      <c r="DN24" s="80">
        <f t="shared" ref="DN24" si="107">SUM(DJ24:DM24)</f>
        <v>8000</v>
      </c>
      <c r="DO24" s="3">
        <f>'Shipment (Production)'!DL24</f>
        <v>0</v>
      </c>
      <c r="DP24" s="3">
        <f>'Shipment (Production)'!DM24</f>
        <v>0</v>
      </c>
      <c r="DQ24" s="3">
        <f>'Shipment (Production)'!DO24</f>
        <v>4000</v>
      </c>
      <c r="DR24" s="3">
        <f>'Shipment (Production)'!DP24</f>
        <v>2000</v>
      </c>
      <c r="DS24" s="80">
        <f t="shared" ref="DS24" si="108">SUM(DO24:DR24)</f>
        <v>6000</v>
      </c>
      <c r="DT24" s="12">
        <f t="shared" si="48"/>
        <v>94025</v>
      </c>
      <c r="DU24" s="3">
        <f>'Shipment (Production)'!DQ24</f>
        <v>0</v>
      </c>
      <c r="DV24" s="3">
        <f>'Shipment (Production)'!DR24</f>
        <v>0</v>
      </c>
      <c r="DW24" s="3">
        <f>'Shipment (Production)'!DU24</f>
        <v>7500</v>
      </c>
      <c r="DX24" s="3">
        <f>'Shipment (Production)'!DV24</f>
        <v>0</v>
      </c>
      <c r="DY24" s="80">
        <f t="shared" si="18"/>
        <v>7500</v>
      </c>
      <c r="DZ24" s="3">
        <f>'Shipment (Production)'!DV24</f>
        <v>0</v>
      </c>
      <c r="EA24" s="3">
        <f>'Shipment (Production)'!DW24</f>
        <v>0</v>
      </c>
      <c r="EB24" s="3">
        <f>'Shipment (Production)'!DZ24</f>
        <v>8000</v>
      </c>
      <c r="EC24" s="3">
        <f>'Shipment (Production)'!EA24</f>
        <v>0</v>
      </c>
      <c r="ED24" s="80">
        <f t="shared" si="19"/>
        <v>8000</v>
      </c>
      <c r="EE24" s="3">
        <f>'Shipment (Production)'!EA24</f>
        <v>0</v>
      </c>
      <c r="EF24" s="3">
        <f>'Shipment (Production)'!EB24</f>
        <v>0</v>
      </c>
      <c r="EG24" s="3">
        <f>'Shipment (Production)'!EE24</f>
        <v>7140</v>
      </c>
      <c r="EH24" s="3">
        <f>'Shipment (Production)'!EF24</f>
        <v>0</v>
      </c>
      <c r="EI24" s="80">
        <f t="shared" si="20"/>
        <v>7140</v>
      </c>
      <c r="EJ24" s="3">
        <f>'Shipment (Production)'!EF24</f>
        <v>0</v>
      </c>
      <c r="EK24" s="3">
        <f>'Shipment (Production)'!EG24</f>
        <v>0</v>
      </c>
      <c r="EL24" s="3">
        <f>'Shipment (Production)'!EJ24</f>
        <v>7140</v>
      </c>
      <c r="EM24" s="3">
        <f>'Shipment (Production)'!EK24</f>
        <v>0</v>
      </c>
      <c r="EN24" s="80">
        <f t="shared" si="21"/>
        <v>7140</v>
      </c>
      <c r="EO24" s="3">
        <f>'Shipment (Production)'!EK24</f>
        <v>0</v>
      </c>
      <c r="EP24" s="3">
        <f>'Shipment (Production)'!EL24</f>
        <v>0</v>
      </c>
      <c r="EQ24" s="3">
        <f>'Shipment (Production)'!EO24</f>
        <v>7140</v>
      </c>
      <c r="ER24" s="3">
        <f>'Shipment (Production)'!EP24</f>
        <v>0</v>
      </c>
      <c r="ES24" s="80">
        <f t="shared" si="22"/>
        <v>7140</v>
      </c>
      <c r="ET24" s="3">
        <f>'Shipment (Production)'!EP24</f>
        <v>0</v>
      </c>
      <c r="EU24" s="3">
        <f>'Shipment (Production)'!EQ24</f>
        <v>0</v>
      </c>
      <c r="EV24" s="3">
        <f>'Shipment (Production)'!ET24</f>
        <v>7140</v>
      </c>
      <c r="EW24" s="3">
        <f>'Shipment (Production)'!EU24</f>
        <v>0</v>
      </c>
      <c r="EX24" s="80">
        <f t="shared" si="23"/>
        <v>7140</v>
      </c>
      <c r="EY24" s="3">
        <f>'Shipment (Production)'!EU24</f>
        <v>0</v>
      </c>
      <c r="EZ24" s="3">
        <f>'Shipment (Production)'!EV24</f>
        <v>0</v>
      </c>
      <c r="FA24" s="3">
        <f>'Shipment (Production)'!EY24</f>
        <v>7140</v>
      </c>
      <c r="FB24" s="3">
        <f>'Shipment (Production)'!EZ24</f>
        <v>0</v>
      </c>
      <c r="FC24" s="80">
        <f t="shared" si="24"/>
        <v>7140</v>
      </c>
      <c r="FD24" s="3">
        <f>'Shipment (Production)'!EZ24</f>
        <v>0</v>
      </c>
      <c r="FE24" s="3">
        <f>'Shipment (Production)'!FA24</f>
        <v>0</v>
      </c>
      <c r="FF24" s="3">
        <f>'Shipment (Production)'!FD24</f>
        <v>7140</v>
      </c>
      <c r="FG24" s="3">
        <f>'Shipment (Production)'!FE24</f>
        <v>0</v>
      </c>
      <c r="FH24" s="80">
        <f t="shared" si="25"/>
        <v>7140</v>
      </c>
      <c r="FI24" s="3">
        <f>'Shipment (Production)'!FE24</f>
        <v>0</v>
      </c>
      <c r="FJ24" s="3">
        <f>'Shipment (Production)'!FF24</f>
        <v>0</v>
      </c>
      <c r="FK24" s="3">
        <f>'Shipment (Production)'!FI24</f>
        <v>7140</v>
      </c>
      <c r="FL24" s="3">
        <f>'Shipment (Production)'!FJ24</f>
        <v>0</v>
      </c>
      <c r="FM24" s="80">
        <f t="shared" si="26"/>
        <v>7140</v>
      </c>
      <c r="FN24" s="3">
        <f>'Shipment (Production)'!FJ24</f>
        <v>0</v>
      </c>
      <c r="FO24" s="3">
        <f>'Shipment (Production)'!FK24</f>
        <v>0</v>
      </c>
      <c r="FP24" s="3">
        <f>'Shipment (Production)'!FN24</f>
        <v>5610</v>
      </c>
      <c r="FQ24" s="3">
        <f>'Shipment (Production)'!FO24</f>
        <v>0</v>
      </c>
      <c r="FR24" s="80">
        <f t="shared" si="27"/>
        <v>5610</v>
      </c>
      <c r="FS24" s="3">
        <f>'Shipment (Production)'!FO24</f>
        <v>0</v>
      </c>
      <c r="FT24" s="3">
        <f>'Shipment (Production)'!FP24</f>
        <v>0</v>
      </c>
      <c r="FU24" s="3">
        <f>'Shipment (Production)'!FS24</f>
        <v>5610</v>
      </c>
      <c r="FV24" s="3">
        <f>'Shipment (Production)'!FT24</f>
        <v>0</v>
      </c>
      <c r="FW24" s="80">
        <f t="shared" si="28"/>
        <v>5610</v>
      </c>
      <c r="FX24" s="3">
        <f>'Shipment (Production)'!FT24</f>
        <v>0</v>
      </c>
      <c r="FY24" s="3">
        <f>'Shipment (Production)'!FU24</f>
        <v>0</v>
      </c>
      <c r="FZ24" s="3">
        <f>'Shipment (Production)'!FX24</f>
        <v>5100</v>
      </c>
      <c r="GA24" s="3">
        <f>'Shipment (Production)'!FY24</f>
        <v>0</v>
      </c>
      <c r="GB24" s="80">
        <f t="shared" si="29"/>
        <v>5100</v>
      </c>
      <c r="GC24" s="12">
        <f t="shared" si="30"/>
        <v>81800</v>
      </c>
    </row>
    <row r="25" spans="1:185" x14ac:dyDescent="0.35">
      <c r="A25" s="1" t="s">
        <v>16</v>
      </c>
      <c r="B25" s="1" t="s">
        <v>31</v>
      </c>
      <c r="G25" s="111"/>
      <c r="H25" s="3"/>
      <c r="I25" s="3"/>
      <c r="J25" s="3"/>
      <c r="K25" s="3"/>
      <c r="L25" s="111"/>
      <c r="M25" s="3"/>
      <c r="N25" s="3"/>
      <c r="O25" s="3"/>
      <c r="P25" s="3"/>
      <c r="Q25" s="111"/>
      <c r="R25" s="3"/>
      <c r="S25" s="3"/>
      <c r="T25" s="3"/>
      <c r="U25" s="3"/>
      <c r="V25" s="111"/>
      <c r="W25" s="3"/>
      <c r="X25" s="3"/>
      <c r="Y25" s="3"/>
      <c r="Z25" s="3"/>
      <c r="AA25" s="111"/>
      <c r="AB25" s="3"/>
      <c r="AC25" s="3"/>
      <c r="AD25" s="3"/>
      <c r="AE25" s="3"/>
      <c r="AF25" s="111"/>
      <c r="AG25" s="3"/>
      <c r="AH25" s="3"/>
      <c r="AI25" s="3"/>
      <c r="AJ25" s="3"/>
      <c r="AK25" s="111"/>
      <c r="AL25" s="3"/>
      <c r="AM25" s="3"/>
      <c r="AN25" s="3"/>
      <c r="AO25" s="3"/>
      <c r="AP25" s="111"/>
      <c r="AQ25" s="3"/>
      <c r="AR25" s="3"/>
      <c r="AS25" s="3"/>
      <c r="AT25" s="112"/>
      <c r="AU25" s="80">
        <f t="shared" si="96"/>
        <v>0</v>
      </c>
      <c r="AV25" s="3"/>
      <c r="AW25" s="3"/>
      <c r="AX25" s="3"/>
      <c r="AY25" s="3"/>
      <c r="AZ25" s="80">
        <f t="shared" si="80"/>
        <v>0</v>
      </c>
      <c r="BA25" s="3"/>
      <c r="BB25" s="3"/>
      <c r="BC25" s="3"/>
      <c r="BD25" s="3">
        <f>'Shipment (Production)'!BB25</f>
        <v>0</v>
      </c>
      <c r="BE25" s="80">
        <f t="shared" si="97"/>
        <v>0</v>
      </c>
      <c r="BF25" s="3"/>
      <c r="BG25" s="3"/>
      <c r="BH25" s="3"/>
      <c r="BI25" s="114">
        <f>'Shipment (Production)'!BG25</f>
        <v>0</v>
      </c>
      <c r="BJ25" s="80">
        <f t="shared" si="98"/>
        <v>0</v>
      </c>
      <c r="BK25" s="12">
        <f t="shared" si="35"/>
        <v>0</v>
      </c>
      <c r="BL25" s="84">
        <f>'Shipment (Production)'!BI25</f>
        <v>0</v>
      </c>
      <c r="BM25" s="3"/>
      <c r="BN25" s="3">
        <f>'Shipment (Production)'!BL25</f>
        <v>0</v>
      </c>
      <c r="BO25" s="3">
        <f>'Shipment (Production)'!BM25</f>
        <v>0</v>
      </c>
      <c r="BP25" s="80">
        <f t="shared" si="83"/>
        <v>0</v>
      </c>
      <c r="BQ25" s="3">
        <f>'Shipment (Production)'!BN25</f>
        <v>0</v>
      </c>
      <c r="BR25" s="3">
        <f>'Shipment (Production)'!BO25</f>
        <v>0</v>
      </c>
      <c r="BS25" s="3">
        <f>'Shipment (Production)'!BQ25</f>
        <v>0</v>
      </c>
      <c r="BT25" s="3">
        <f>'Shipment (Production)'!BR25</f>
        <v>0</v>
      </c>
      <c r="BU25" s="80">
        <f t="shared" si="99"/>
        <v>0</v>
      </c>
      <c r="BV25" s="3">
        <f>'Shipment (Production)'!BS25</f>
        <v>0</v>
      </c>
      <c r="BW25" s="3">
        <f>'Shipment (Production)'!BT25</f>
        <v>0</v>
      </c>
      <c r="BX25" s="3">
        <f>'Shipment (Production)'!BV25</f>
        <v>0</v>
      </c>
      <c r="BY25" s="3">
        <f>'Shipment (Production)'!BW25</f>
        <v>0</v>
      </c>
      <c r="BZ25" s="80">
        <f t="shared" ref="BZ25:BZ32" si="109">SUM(BV25:BY25)</f>
        <v>0</v>
      </c>
      <c r="CA25" s="3">
        <f>'Shipment (Production)'!BX25</f>
        <v>0</v>
      </c>
      <c r="CB25" s="3">
        <f>'Shipment (Production)'!BY25</f>
        <v>0</v>
      </c>
      <c r="CC25" s="3">
        <f>'Shipment (Production)'!CA25</f>
        <v>0</v>
      </c>
      <c r="CD25" s="3">
        <f>'Shipment (Production)'!CB25</f>
        <v>0</v>
      </c>
      <c r="CE25" s="80">
        <f t="shared" ref="CE25:CE32" si="110">SUM(CA25:CD25)</f>
        <v>0</v>
      </c>
      <c r="CF25" s="3">
        <f>'Shipment (Production)'!CC25</f>
        <v>0</v>
      </c>
      <c r="CG25" s="3">
        <f>'Shipment (Production)'!CD25</f>
        <v>0</v>
      </c>
      <c r="CH25" s="3">
        <f>'Shipment (Production)'!CF25</f>
        <v>0</v>
      </c>
      <c r="CI25" s="3">
        <f>'Shipment (Production)'!CG25</f>
        <v>0</v>
      </c>
      <c r="CJ25" s="80">
        <f t="shared" ref="CJ25:CJ32" si="111">SUM(CF25:CI25)</f>
        <v>0</v>
      </c>
      <c r="CK25" s="3">
        <f>'Shipment (Production)'!CH25</f>
        <v>0</v>
      </c>
      <c r="CL25" s="3">
        <f>'Shipment (Production)'!CI25</f>
        <v>0</v>
      </c>
      <c r="CM25" s="3">
        <f>'Shipment (Production)'!CK25</f>
        <v>0</v>
      </c>
      <c r="CN25" s="3">
        <f>'Shipment (Production)'!CL25</f>
        <v>0</v>
      </c>
      <c r="CO25" s="80">
        <f t="shared" ref="CO25:CO32" si="112">SUM(CK25:CN25)</f>
        <v>0</v>
      </c>
      <c r="CP25" s="3">
        <f>'Shipment (Production)'!CM25</f>
        <v>0</v>
      </c>
      <c r="CQ25" s="3">
        <f>'Shipment (Production)'!CN25</f>
        <v>0</v>
      </c>
      <c r="CR25" s="3">
        <f>'Shipment (Production)'!CP25</f>
        <v>0</v>
      </c>
      <c r="CS25" s="3">
        <f>'Shipment (Production)'!CQ25</f>
        <v>0</v>
      </c>
      <c r="CT25" s="80">
        <f t="shared" ref="CT25:CT32" si="113">SUM(CP25:CS25)</f>
        <v>0</v>
      </c>
      <c r="CU25" s="3">
        <f>'Shipment (Production)'!CR25</f>
        <v>0</v>
      </c>
      <c r="CV25" s="3">
        <f>'Shipment (Production)'!CS25</f>
        <v>0</v>
      </c>
      <c r="CW25" s="3">
        <f>'Shipment (Production)'!CU25</f>
        <v>0</v>
      </c>
      <c r="CX25" s="3">
        <f>'Shipment (Production)'!CV25</f>
        <v>0</v>
      </c>
      <c r="CY25" s="80">
        <f t="shared" ref="CY25:CY32" si="114">SUM(CU25:CX25)</f>
        <v>0</v>
      </c>
      <c r="CZ25" s="3">
        <f>'Shipment (Production)'!CW25</f>
        <v>0</v>
      </c>
      <c r="DA25" s="3">
        <f>'Shipment (Production)'!CX25</f>
        <v>0</v>
      </c>
      <c r="DB25" s="3">
        <f>'Shipment (Production)'!CZ25</f>
        <v>0</v>
      </c>
      <c r="DC25" s="3">
        <f>'Shipment (Production)'!DA25</f>
        <v>0</v>
      </c>
      <c r="DD25" s="80">
        <f t="shared" ref="DD25:DD32" si="115">SUM(CZ25:DC25)</f>
        <v>0</v>
      </c>
      <c r="DE25" s="3">
        <f>'Shipment (Production)'!DB25</f>
        <v>0</v>
      </c>
      <c r="DF25" s="3">
        <f>'Shipment (Production)'!DC25</f>
        <v>0</v>
      </c>
      <c r="DG25" s="3">
        <f>'Shipment (Production)'!DE25</f>
        <v>0</v>
      </c>
      <c r="DH25" s="3">
        <f>'Shipment (Production)'!DF25</f>
        <v>0</v>
      </c>
      <c r="DI25" s="80">
        <f t="shared" ref="DI25:DI32" si="116">SUM(DE25:DH25)</f>
        <v>0</v>
      </c>
      <c r="DJ25" s="3">
        <f>'Shipment (Production)'!DG25</f>
        <v>0</v>
      </c>
      <c r="DK25" s="3">
        <f>'Shipment (Production)'!DH25</f>
        <v>0</v>
      </c>
      <c r="DL25" s="3">
        <f>'Shipment (Production)'!DJ25</f>
        <v>0</v>
      </c>
      <c r="DM25" s="3">
        <f>'Shipment (Production)'!DK25</f>
        <v>0</v>
      </c>
      <c r="DN25" s="80">
        <f t="shared" ref="DN25:DN32" si="117">SUM(DJ25:DM25)</f>
        <v>0</v>
      </c>
      <c r="DO25" s="3">
        <f>'Shipment (Production)'!DL25</f>
        <v>0</v>
      </c>
      <c r="DP25" s="3">
        <f>'Shipment (Production)'!DM25</f>
        <v>0</v>
      </c>
      <c r="DQ25" s="3">
        <f>'Shipment (Production)'!DO25</f>
        <v>0</v>
      </c>
      <c r="DR25" s="3">
        <f>'Shipment (Production)'!DP25</f>
        <v>0</v>
      </c>
      <c r="DS25" s="80">
        <f t="shared" ref="DS25:DS32" si="118">SUM(DO25:DR25)</f>
        <v>0</v>
      </c>
      <c r="DT25" s="12">
        <f t="shared" ref="DT25:DT32" si="119">BP25+BU25+BZ25+CE25+CJ25+CO25+CT25+CY25+DD25+DI25+DN25+DS25</f>
        <v>0</v>
      </c>
      <c r="DU25" s="3">
        <f>'Shipment (Production)'!DQ25</f>
        <v>0</v>
      </c>
      <c r="DV25" s="3">
        <f>'Shipment (Production)'!DR25</f>
        <v>0</v>
      </c>
      <c r="DW25" s="3">
        <f>'Shipment (Production)'!DU25</f>
        <v>0</v>
      </c>
      <c r="DX25" s="3">
        <f>'Shipment (Production)'!DV25</f>
        <v>0</v>
      </c>
      <c r="DY25" s="80">
        <f t="shared" ref="DY25:DY32" si="120">SUM(DU25:DX25)</f>
        <v>0</v>
      </c>
      <c r="DZ25" s="3">
        <f>'Shipment (Production)'!DV25</f>
        <v>0</v>
      </c>
      <c r="EA25" s="3">
        <f>'Shipment (Production)'!DW25</f>
        <v>0</v>
      </c>
      <c r="EB25" s="3">
        <f>'Shipment (Production)'!DZ25</f>
        <v>0</v>
      </c>
      <c r="EC25" s="3">
        <f>'Shipment (Production)'!EA25</f>
        <v>0</v>
      </c>
      <c r="ED25" s="80">
        <f t="shared" ref="ED25:ED32" si="121">SUM(DZ25:EC25)</f>
        <v>0</v>
      </c>
      <c r="EE25" s="3">
        <f>'Shipment (Production)'!EA25</f>
        <v>0</v>
      </c>
      <c r="EF25" s="3">
        <f>'Shipment (Production)'!EB25</f>
        <v>0</v>
      </c>
      <c r="EG25" s="3">
        <f>'Shipment (Production)'!EE25</f>
        <v>0</v>
      </c>
      <c r="EH25" s="3">
        <f>'Shipment (Production)'!EF25</f>
        <v>0</v>
      </c>
      <c r="EI25" s="80">
        <f t="shared" ref="EI25:EI32" si="122">SUM(EE25:EH25)</f>
        <v>0</v>
      </c>
      <c r="EJ25" s="3">
        <f>'Shipment (Production)'!EF25</f>
        <v>0</v>
      </c>
      <c r="EK25" s="3">
        <f>'Shipment (Production)'!EG25</f>
        <v>0</v>
      </c>
      <c r="EL25" s="3">
        <f>'Shipment (Production)'!EJ25</f>
        <v>0</v>
      </c>
      <c r="EM25" s="3">
        <f>'Shipment (Production)'!EK25</f>
        <v>0</v>
      </c>
      <c r="EN25" s="80">
        <f t="shared" ref="EN25:EN32" si="123">SUM(EJ25:EM25)</f>
        <v>0</v>
      </c>
      <c r="EO25" s="3">
        <f>'Shipment (Production)'!EK25</f>
        <v>0</v>
      </c>
      <c r="EP25" s="3">
        <f>'Shipment (Production)'!EL25</f>
        <v>0</v>
      </c>
      <c r="EQ25" s="3">
        <f>'Shipment (Production)'!EO25</f>
        <v>0</v>
      </c>
      <c r="ER25" s="3">
        <f>'Shipment (Production)'!EP25</f>
        <v>0</v>
      </c>
      <c r="ES25" s="80">
        <f t="shared" ref="ES25:ES32" si="124">SUM(EO25:ER25)</f>
        <v>0</v>
      </c>
      <c r="ET25" s="3">
        <f>'Shipment (Production)'!EP25</f>
        <v>0</v>
      </c>
      <c r="EU25" s="3">
        <f>'Shipment (Production)'!EQ25</f>
        <v>0</v>
      </c>
      <c r="EV25" s="3">
        <f>'Shipment (Production)'!ET25</f>
        <v>0</v>
      </c>
      <c r="EW25" s="3">
        <f>'Shipment (Production)'!EU25</f>
        <v>0</v>
      </c>
      <c r="EX25" s="80">
        <f t="shared" ref="EX25:EX32" si="125">SUM(ET25:EW25)</f>
        <v>0</v>
      </c>
      <c r="EY25" s="3">
        <f>'Shipment (Production)'!EU25</f>
        <v>0</v>
      </c>
      <c r="EZ25" s="3">
        <f>'Shipment (Production)'!EV25</f>
        <v>0</v>
      </c>
      <c r="FA25" s="3">
        <f>'Shipment (Production)'!EY25</f>
        <v>0</v>
      </c>
      <c r="FB25" s="3">
        <f>'Shipment (Production)'!EZ25</f>
        <v>0</v>
      </c>
      <c r="FC25" s="80">
        <f t="shared" ref="FC25:FC32" si="126">SUM(EY25:FB25)</f>
        <v>0</v>
      </c>
      <c r="FD25" s="3">
        <f>'Shipment (Production)'!EZ25</f>
        <v>0</v>
      </c>
      <c r="FE25" s="3">
        <f>'Shipment (Production)'!FA25</f>
        <v>0</v>
      </c>
      <c r="FF25" s="3">
        <f>'Shipment (Production)'!FD25</f>
        <v>0</v>
      </c>
      <c r="FG25" s="3">
        <f>'Shipment (Production)'!FE25</f>
        <v>0</v>
      </c>
      <c r="FH25" s="80">
        <f t="shared" ref="FH25:FH32" si="127">SUM(FD25:FG25)</f>
        <v>0</v>
      </c>
      <c r="FI25" s="3">
        <f>'Shipment (Production)'!FE25</f>
        <v>0</v>
      </c>
      <c r="FJ25" s="3">
        <f>'Shipment (Production)'!FF25</f>
        <v>0</v>
      </c>
      <c r="FK25" s="3">
        <f>'Shipment (Production)'!FI25</f>
        <v>0</v>
      </c>
      <c r="FL25" s="3">
        <f>'Shipment (Production)'!FJ25</f>
        <v>0</v>
      </c>
      <c r="FM25" s="80">
        <f t="shared" ref="FM25:FM32" si="128">SUM(FI25:FL25)</f>
        <v>0</v>
      </c>
      <c r="FN25" s="3">
        <f>'Shipment (Production)'!FJ25</f>
        <v>0</v>
      </c>
      <c r="FO25" s="3">
        <f>'Shipment (Production)'!FK25</f>
        <v>0</v>
      </c>
      <c r="FP25" s="3">
        <f>'Shipment (Production)'!FN25</f>
        <v>0</v>
      </c>
      <c r="FQ25" s="3">
        <f>'Shipment (Production)'!FO25</f>
        <v>0</v>
      </c>
      <c r="FR25" s="80">
        <f t="shared" ref="FR25:FR32" si="129">SUM(FN25:FQ25)</f>
        <v>0</v>
      </c>
      <c r="FS25" s="3">
        <f>'Shipment (Production)'!FO25</f>
        <v>0</v>
      </c>
      <c r="FT25" s="3">
        <f>'Shipment (Production)'!FP25</f>
        <v>0</v>
      </c>
      <c r="FU25" s="3">
        <f>'Shipment (Production)'!FS25</f>
        <v>0</v>
      </c>
      <c r="FV25" s="3">
        <f>'Shipment (Production)'!FT25</f>
        <v>0</v>
      </c>
      <c r="FW25" s="80">
        <f t="shared" ref="FW25:FW32" si="130">SUM(FS25:FV25)</f>
        <v>0</v>
      </c>
      <c r="FX25" s="3">
        <f>'Shipment (Production)'!FT25</f>
        <v>0</v>
      </c>
      <c r="FY25" s="3">
        <f>'Shipment (Production)'!FU25</f>
        <v>0</v>
      </c>
      <c r="FZ25" s="3">
        <f>'Shipment (Production)'!FX25</f>
        <v>0</v>
      </c>
      <c r="GA25" s="3">
        <f>'Shipment (Production)'!FY25</f>
        <v>0</v>
      </c>
      <c r="GB25" s="80">
        <f t="shared" ref="GB25:GB32" si="131">SUM(FX25:GA25)</f>
        <v>0</v>
      </c>
      <c r="GC25" s="12">
        <f t="shared" ref="GC25:GC32" si="132">ED25+EI25+EN25+ES25+EX25+FC25+FH25+FM25+FR25+FW25+GB25+DY25</f>
        <v>0</v>
      </c>
    </row>
    <row r="26" spans="1:185" x14ac:dyDescent="0.35">
      <c r="A26" s="1" t="s">
        <v>16</v>
      </c>
      <c r="B26" s="1" t="s">
        <v>32</v>
      </c>
      <c r="G26" s="111"/>
      <c r="H26" s="3"/>
      <c r="I26" s="3"/>
      <c r="J26" s="3"/>
      <c r="K26" s="3"/>
      <c r="L26" s="111"/>
      <c r="M26" s="3"/>
      <c r="N26" s="3"/>
      <c r="O26" s="3"/>
      <c r="P26" s="3"/>
      <c r="Q26" s="111"/>
      <c r="R26" s="3"/>
      <c r="S26" s="3"/>
      <c r="T26" s="3"/>
      <c r="U26" s="3"/>
      <c r="V26" s="111"/>
      <c r="W26" s="3"/>
      <c r="X26" s="3"/>
      <c r="Y26" s="3"/>
      <c r="Z26" s="3"/>
      <c r="AA26" s="111"/>
      <c r="AB26" s="3"/>
      <c r="AC26" s="3"/>
      <c r="AD26" s="3"/>
      <c r="AE26" s="3"/>
      <c r="AF26" s="111"/>
      <c r="AG26" s="3"/>
      <c r="AH26" s="3"/>
      <c r="AI26" s="3"/>
      <c r="AJ26" s="3"/>
      <c r="AK26" s="111"/>
      <c r="AL26" s="3"/>
      <c r="AM26" s="3"/>
      <c r="AN26" s="3"/>
      <c r="AO26" s="3"/>
      <c r="AP26" s="111"/>
      <c r="AQ26" s="3"/>
      <c r="AR26" s="3"/>
      <c r="AS26" s="3"/>
      <c r="AT26" s="112"/>
      <c r="AU26" s="80">
        <f t="shared" si="96"/>
        <v>0</v>
      </c>
      <c r="AV26" s="3"/>
      <c r="AW26" s="3"/>
      <c r="AX26" s="3"/>
      <c r="AY26" s="3"/>
      <c r="AZ26" s="80">
        <f t="shared" si="80"/>
        <v>0</v>
      </c>
      <c r="BA26" s="3"/>
      <c r="BB26" s="3"/>
      <c r="BC26" s="3"/>
      <c r="BD26" s="3">
        <f>'Shipment (Production)'!BB26</f>
        <v>0</v>
      </c>
      <c r="BE26" s="80">
        <f t="shared" si="97"/>
        <v>0</v>
      </c>
      <c r="BF26" s="3"/>
      <c r="BG26" s="3"/>
      <c r="BH26" s="3"/>
      <c r="BI26" s="114">
        <f>'Shipment (Production)'!BG26</f>
        <v>0</v>
      </c>
      <c r="BJ26" s="80">
        <f t="shared" si="98"/>
        <v>0</v>
      </c>
      <c r="BK26" s="12">
        <f t="shared" si="35"/>
        <v>0</v>
      </c>
      <c r="BL26" s="84">
        <f>'Shipment (Production)'!BI26</f>
        <v>0</v>
      </c>
      <c r="BM26" s="3"/>
      <c r="BN26" s="3">
        <f>'Shipment (Production)'!BL26</f>
        <v>0</v>
      </c>
      <c r="BO26" s="3">
        <f>'Shipment (Production)'!BM26</f>
        <v>0</v>
      </c>
      <c r="BP26" s="80">
        <f t="shared" si="83"/>
        <v>0</v>
      </c>
      <c r="BQ26" s="3">
        <f>'Shipment (Production)'!BN26</f>
        <v>0</v>
      </c>
      <c r="BR26" s="3">
        <f>'Shipment (Production)'!BO26</f>
        <v>0</v>
      </c>
      <c r="BS26" s="3">
        <f>'Shipment (Production)'!BQ26</f>
        <v>0</v>
      </c>
      <c r="BT26" s="3">
        <f>'Shipment (Production)'!BR26</f>
        <v>0</v>
      </c>
      <c r="BU26" s="80">
        <f t="shared" si="99"/>
        <v>0</v>
      </c>
      <c r="BV26" s="3">
        <f>'Shipment (Production)'!BS26</f>
        <v>0</v>
      </c>
      <c r="BW26" s="3">
        <f>'Shipment (Production)'!BT26</f>
        <v>0</v>
      </c>
      <c r="BX26" s="3">
        <f>'Shipment (Production)'!BV26</f>
        <v>0</v>
      </c>
      <c r="BY26" s="3">
        <f>'Shipment (Production)'!BW26</f>
        <v>0</v>
      </c>
      <c r="BZ26" s="80">
        <f t="shared" si="109"/>
        <v>0</v>
      </c>
      <c r="CA26" s="3">
        <f>'Shipment (Production)'!BX26</f>
        <v>0</v>
      </c>
      <c r="CB26" s="3">
        <f>'Shipment (Production)'!BY26</f>
        <v>0</v>
      </c>
      <c r="CC26" s="3">
        <f>'Shipment (Production)'!CA26</f>
        <v>0</v>
      </c>
      <c r="CD26" s="3">
        <f>'Shipment (Production)'!CB26</f>
        <v>0</v>
      </c>
      <c r="CE26" s="80">
        <f t="shared" si="110"/>
        <v>0</v>
      </c>
      <c r="CF26" s="3">
        <f>'Shipment (Production)'!CC26</f>
        <v>0</v>
      </c>
      <c r="CG26" s="3">
        <f>'Shipment (Production)'!CD26</f>
        <v>0</v>
      </c>
      <c r="CH26" s="3">
        <f>'Shipment (Production)'!CF26</f>
        <v>0</v>
      </c>
      <c r="CI26" s="3">
        <f>'Shipment (Production)'!CG26</f>
        <v>0</v>
      </c>
      <c r="CJ26" s="80">
        <f t="shared" si="111"/>
        <v>0</v>
      </c>
      <c r="CK26" s="3">
        <f>'Shipment (Production)'!CH26</f>
        <v>0</v>
      </c>
      <c r="CL26" s="3">
        <f>'Shipment (Production)'!CI26</f>
        <v>0</v>
      </c>
      <c r="CM26" s="3">
        <f>'Shipment (Production)'!CK26</f>
        <v>0</v>
      </c>
      <c r="CN26" s="3">
        <f>'Shipment (Production)'!CL26</f>
        <v>0</v>
      </c>
      <c r="CO26" s="80">
        <f t="shared" si="112"/>
        <v>0</v>
      </c>
      <c r="CP26" s="3">
        <f>'Shipment (Production)'!CM26</f>
        <v>0</v>
      </c>
      <c r="CQ26" s="3">
        <f>'Shipment (Production)'!CN26</f>
        <v>0</v>
      </c>
      <c r="CR26" s="3">
        <f>'Shipment (Production)'!CP26</f>
        <v>0</v>
      </c>
      <c r="CS26" s="3">
        <f>'Shipment (Production)'!CQ26</f>
        <v>0</v>
      </c>
      <c r="CT26" s="80">
        <f t="shared" si="113"/>
        <v>0</v>
      </c>
      <c r="CU26" s="3">
        <f>'Shipment (Production)'!CR26</f>
        <v>0</v>
      </c>
      <c r="CV26" s="3">
        <f>'Shipment (Production)'!CS26</f>
        <v>0</v>
      </c>
      <c r="CW26" s="3">
        <f>'Shipment (Production)'!CU26</f>
        <v>0</v>
      </c>
      <c r="CX26" s="3">
        <f>'Shipment (Production)'!CV26</f>
        <v>0</v>
      </c>
      <c r="CY26" s="80">
        <f t="shared" si="114"/>
        <v>0</v>
      </c>
      <c r="CZ26" s="3">
        <f>'Shipment (Production)'!CW26</f>
        <v>0</v>
      </c>
      <c r="DA26" s="3">
        <f>'Shipment (Production)'!CX26</f>
        <v>0</v>
      </c>
      <c r="DB26" s="3">
        <f>'Shipment (Production)'!CZ26</f>
        <v>0</v>
      </c>
      <c r="DC26" s="3">
        <f>'Shipment (Production)'!DA26</f>
        <v>0</v>
      </c>
      <c r="DD26" s="80">
        <f t="shared" si="115"/>
        <v>0</v>
      </c>
      <c r="DE26" s="3">
        <f>'Shipment (Production)'!DB26</f>
        <v>0</v>
      </c>
      <c r="DF26" s="3">
        <f>'Shipment (Production)'!DC26</f>
        <v>0</v>
      </c>
      <c r="DG26" s="3">
        <f>'Shipment (Production)'!DE26</f>
        <v>0</v>
      </c>
      <c r="DH26" s="3">
        <f>'Shipment (Production)'!DF26</f>
        <v>0</v>
      </c>
      <c r="DI26" s="80">
        <f t="shared" si="116"/>
        <v>0</v>
      </c>
      <c r="DJ26" s="3">
        <f>'Shipment (Production)'!DG26</f>
        <v>0</v>
      </c>
      <c r="DK26" s="3">
        <f>'Shipment (Production)'!DH26</f>
        <v>0</v>
      </c>
      <c r="DL26" s="3">
        <f>'Shipment (Production)'!DJ26</f>
        <v>0</v>
      </c>
      <c r="DM26" s="3">
        <f>'Shipment (Production)'!DK26</f>
        <v>0</v>
      </c>
      <c r="DN26" s="80">
        <f t="shared" si="117"/>
        <v>0</v>
      </c>
      <c r="DO26" s="3">
        <f>'Shipment (Production)'!DL26</f>
        <v>0</v>
      </c>
      <c r="DP26" s="3">
        <f>'Shipment (Production)'!DM26</f>
        <v>0</v>
      </c>
      <c r="DQ26" s="3">
        <f>'Shipment (Production)'!DO26</f>
        <v>0</v>
      </c>
      <c r="DR26" s="3">
        <f>'Shipment (Production)'!DP26</f>
        <v>0</v>
      </c>
      <c r="DS26" s="80">
        <f t="shared" si="118"/>
        <v>0</v>
      </c>
      <c r="DT26" s="12">
        <f t="shared" si="119"/>
        <v>0</v>
      </c>
      <c r="DU26" s="3">
        <f>'Shipment (Production)'!DQ26</f>
        <v>0</v>
      </c>
      <c r="DV26" s="3">
        <f>'Shipment (Production)'!DR26</f>
        <v>0</v>
      </c>
      <c r="DW26" s="3">
        <f>'Shipment (Production)'!DU26</f>
        <v>0</v>
      </c>
      <c r="DX26" s="3">
        <f>'Shipment (Production)'!DV26</f>
        <v>0</v>
      </c>
      <c r="DY26" s="80">
        <f t="shared" si="120"/>
        <v>0</v>
      </c>
      <c r="DZ26" s="3">
        <f>'Shipment (Production)'!DV26</f>
        <v>0</v>
      </c>
      <c r="EA26" s="3">
        <f>'Shipment (Production)'!DW26</f>
        <v>0</v>
      </c>
      <c r="EB26" s="3">
        <f>'Shipment (Production)'!DZ26</f>
        <v>0</v>
      </c>
      <c r="EC26" s="3">
        <f>'Shipment (Production)'!EA26</f>
        <v>0</v>
      </c>
      <c r="ED26" s="80">
        <f t="shared" si="121"/>
        <v>0</v>
      </c>
      <c r="EE26" s="3">
        <f>'Shipment (Production)'!EA26</f>
        <v>0</v>
      </c>
      <c r="EF26" s="3">
        <f>'Shipment (Production)'!EB26</f>
        <v>0</v>
      </c>
      <c r="EG26" s="3">
        <f>'Shipment (Production)'!EE26</f>
        <v>0</v>
      </c>
      <c r="EH26" s="3">
        <f>'Shipment (Production)'!EF26</f>
        <v>0</v>
      </c>
      <c r="EI26" s="80">
        <f t="shared" si="122"/>
        <v>0</v>
      </c>
      <c r="EJ26" s="3">
        <f>'Shipment (Production)'!EF26</f>
        <v>0</v>
      </c>
      <c r="EK26" s="3">
        <f>'Shipment (Production)'!EG26</f>
        <v>0</v>
      </c>
      <c r="EL26" s="3">
        <f>'Shipment (Production)'!EJ26</f>
        <v>0</v>
      </c>
      <c r="EM26" s="3">
        <f>'Shipment (Production)'!EK26</f>
        <v>0</v>
      </c>
      <c r="EN26" s="80">
        <f t="shared" si="123"/>
        <v>0</v>
      </c>
      <c r="EO26" s="3">
        <f>'Shipment (Production)'!EK26</f>
        <v>0</v>
      </c>
      <c r="EP26" s="3">
        <f>'Shipment (Production)'!EL26</f>
        <v>0</v>
      </c>
      <c r="EQ26" s="3">
        <f>'Shipment (Production)'!EO26</f>
        <v>0</v>
      </c>
      <c r="ER26" s="3">
        <f>'Shipment (Production)'!EP26</f>
        <v>0</v>
      </c>
      <c r="ES26" s="80">
        <f t="shared" si="124"/>
        <v>0</v>
      </c>
      <c r="ET26" s="3">
        <f>'Shipment (Production)'!EP26</f>
        <v>0</v>
      </c>
      <c r="EU26" s="3">
        <f>'Shipment (Production)'!EQ26</f>
        <v>0</v>
      </c>
      <c r="EV26" s="3">
        <f>'Shipment (Production)'!ET26</f>
        <v>0</v>
      </c>
      <c r="EW26" s="3">
        <f>'Shipment (Production)'!EU26</f>
        <v>0</v>
      </c>
      <c r="EX26" s="80">
        <f t="shared" si="125"/>
        <v>0</v>
      </c>
      <c r="EY26" s="3">
        <f>'Shipment (Production)'!EU26</f>
        <v>0</v>
      </c>
      <c r="EZ26" s="3">
        <f>'Shipment (Production)'!EV26</f>
        <v>0</v>
      </c>
      <c r="FA26" s="3">
        <f>'Shipment (Production)'!EY26</f>
        <v>0</v>
      </c>
      <c r="FB26" s="3">
        <f>'Shipment (Production)'!EZ26</f>
        <v>0</v>
      </c>
      <c r="FC26" s="80">
        <f t="shared" si="126"/>
        <v>0</v>
      </c>
      <c r="FD26" s="3">
        <f>'Shipment (Production)'!EZ26</f>
        <v>0</v>
      </c>
      <c r="FE26" s="3">
        <f>'Shipment (Production)'!FA26</f>
        <v>0</v>
      </c>
      <c r="FF26" s="3">
        <f>'Shipment (Production)'!FD26</f>
        <v>0</v>
      </c>
      <c r="FG26" s="3">
        <f>'Shipment (Production)'!FE26</f>
        <v>0</v>
      </c>
      <c r="FH26" s="80">
        <f t="shared" si="127"/>
        <v>0</v>
      </c>
      <c r="FI26" s="3">
        <f>'Shipment (Production)'!FE26</f>
        <v>0</v>
      </c>
      <c r="FJ26" s="3">
        <f>'Shipment (Production)'!FF26</f>
        <v>0</v>
      </c>
      <c r="FK26" s="3">
        <f>'Shipment (Production)'!FI26</f>
        <v>0</v>
      </c>
      <c r="FL26" s="3">
        <f>'Shipment (Production)'!FJ26</f>
        <v>0</v>
      </c>
      <c r="FM26" s="80">
        <f t="shared" si="128"/>
        <v>0</v>
      </c>
      <c r="FN26" s="3">
        <f>'Shipment (Production)'!FJ26</f>
        <v>0</v>
      </c>
      <c r="FO26" s="3">
        <f>'Shipment (Production)'!FK26</f>
        <v>0</v>
      </c>
      <c r="FP26" s="3">
        <f>'Shipment (Production)'!FN26</f>
        <v>0</v>
      </c>
      <c r="FQ26" s="3">
        <f>'Shipment (Production)'!FO26</f>
        <v>0</v>
      </c>
      <c r="FR26" s="80">
        <f t="shared" si="129"/>
        <v>0</v>
      </c>
      <c r="FS26" s="3">
        <f>'Shipment (Production)'!FO26</f>
        <v>0</v>
      </c>
      <c r="FT26" s="3">
        <f>'Shipment (Production)'!FP26</f>
        <v>0</v>
      </c>
      <c r="FU26" s="3">
        <f>'Shipment (Production)'!FS26</f>
        <v>0</v>
      </c>
      <c r="FV26" s="3">
        <f>'Shipment (Production)'!FT26</f>
        <v>0</v>
      </c>
      <c r="FW26" s="80">
        <f t="shared" si="130"/>
        <v>0</v>
      </c>
      <c r="FX26" s="3">
        <f>'Shipment (Production)'!FT26</f>
        <v>0</v>
      </c>
      <c r="FY26" s="3">
        <f>'Shipment (Production)'!FU26</f>
        <v>0</v>
      </c>
      <c r="FZ26" s="3">
        <f>'Shipment (Production)'!FX26</f>
        <v>0</v>
      </c>
      <c r="GA26" s="3">
        <f>'Shipment (Production)'!FY26</f>
        <v>0</v>
      </c>
      <c r="GB26" s="80">
        <f t="shared" si="131"/>
        <v>0</v>
      </c>
      <c r="GC26" s="12">
        <f t="shared" si="132"/>
        <v>0</v>
      </c>
    </row>
    <row r="27" spans="1:185" x14ac:dyDescent="0.35">
      <c r="A27" s="1" t="s">
        <v>16</v>
      </c>
      <c r="B27" s="1" t="s">
        <v>33</v>
      </c>
      <c r="G27" s="111"/>
      <c r="H27" s="3"/>
      <c r="I27" s="3"/>
      <c r="J27" s="3"/>
      <c r="K27" s="3"/>
      <c r="L27" s="111"/>
      <c r="M27" s="3"/>
      <c r="N27" s="3"/>
      <c r="O27" s="3"/>
      <c r="P27" s="3"/>
      <c r="Q27" s="111"/>
      <c r="R27" s="3"/>
      <c r="S27" s="3"/>
      <c r="T27" s="3"/>
      <c r="U27" s="3"/>
      <c r="V27" s="111"/>
      <c r="W27" s="3"/>
      <c r="X27" s="3"/>
      <c r="Y27" s="3"/>
      <c r="Z27" s="3"/>
      <c r="AA27" s="111"/>
      <c r="AB27" s="3"/>
      <c r="AC27" s="3"/>
      <c r="AD27" s="3"/>
      <c r="AE27" s="3"/>
      <c r="AF27" s="111"/>
      <c r="AG27" s="3"/>
      <c r="AH27" s="3"/>
      <c r="AI27" s="3"/>
      <c r="AJ27" s="3"/>
      <c r="AK27" s="111"/>
      <c r="AL27" s="3"/>
      <c r="AM27" s="3"/>
      <c r="AN27" s="3"/>
      <c r="AO27" s="3"/>
      <c r="AP27" s="111"/>
      <c r="AQ27" s="3"/>
      <c r="AR27" s="3"/>
      <c r="AS27" s="3"/>
      <c r="AT27" s="112"/>
      <c r="AU27" s="80">
        <f t="shared" si="96"/>
        <v>0</v>
      </c>
      <c r="AV27" s="3"/>
      <c r="AW27" s="3"/>
      <c r="AX27" s="3"/>
      <c r="AY27" s="3"/>
      <c r="AZ27" s="80">
        <f t="shared" si="80"/>
        <v>0</v>
      </c>
      <c r="BA27" s="3"/>
      <c r="BB27" s="3"/>
      <c r="BC27" s="3"/>
      <c r="BD27" s="3">
        <f>'Shipment (Production)'!BB27</f>
        <v>0</v>
      </c>
      <c r="BE27" s="80">
        <f t="shared" si="97"/>
        <v>0</v>
      </c>
      <c r="BF27" s="3"/>
      <c r="BG27" s="3"/>
      <c r="BH27" s="3"/>
      <c r="BI27" s="114">
        <f>'Shipment (Production)'!BG27</f>
        <v>0</v>
      </c>
      <c r="BJ27" s="80">
        <f t="shared" si="98"/>
        <v>0</v>
      </c>
      <c r="BK27" s="12">
        <f t="shared" si="35"/>
        <v>0</v>
      </c>
      <c r="BL27" s="84">
        <f>'Shipment (Production)'!BI27</f>
        <v>0</v>
      </c>
      <c r="BM27" s="3"/>
      <c r="BN27" s="3">
        <f>'Shipment (Production)'!BL27</f>
        <v>0</v>
      </c>
      <c r="BO27" s="3">
        <f>'Shipment (Production)'!BM27</f>
        <v>0</v>
      </c>
      <c r="BP27" s="80">
        <f t="shared" si="83"/>
        <v>0</v>
      </c>
      <c r="BQ27" s="3">
        <f>'Shipment (Production)'!BN27</f>
        <v>0</v>
      </c>
      <c r="BR27" s="3">
        <f>'Shipment (Production)'!BO27</f>
        <v>0</v>
      </c>
      <c r="BS27" s="3">
        <f>'Shipment (Production)'!BQ27</f>
        <v>0</v>
      </c>
      <c r="BT27" s="3">
        <f>'Shipment (Production)'!BR27</f>
        <v>0</v>
      </c>
      <c r="BU27" s="80">
        <f t="shared" si="99"/>
        <v>0</v>
      </c>
      <c r="BV27" s="3">
        <f>'Shipment (Production)'!BS27</f>
        <v>0</v>
      </c>
      <c r="BW27" s="3">
        <f>'Shipment (Production)'!BT27</f>
        <v>0</v>
      </c>
      <c r="BX27" s="3">
        <f>'Shipment (Production)'!BV27</f>
        <v>0</v>
      </c>
      <c r="BY27" s="3">
        <f>'Shipment (Production)'!BW27</f>
        <v>0</v>
      </c>
      <c r="BZ27" s="80">
        <f t="shared" si="109"/>
        <v>0</v>
      </c>
      <c r="CA27" s="3">
        <f>'Shipment (Production)'!BX27</f>
        <v>0</v>
      </c>
      <c r="CB27" s="3">
        <f>'Shipment (Production)'!BY27</f>
        <v>0</v>
      </c>
      <c r="CC27" s="3">
        <f>'Shipment (Production)'!CA27</f>
        <v>0</v>
      </c>
      <c r="CD27" s="3">
        <f>'Shipment (Production)'!CB27</f>
        <v>0</v>
      </c>
      <c r="CE27" s="80">
        <f t="shared" si="110"/>
        <v>0</v>
      </c>
      <c r="CF27" s="3">
        <f>'Shipment (Production)'!CC27</f>
        <v>0</v>
      </c>
      <c r="CG27" s="3">
        <f>'Shipment (Production)'!CD27</f>
        <v>0</v>
      </c>
      <c r="CH27" s="3">
        <f>'Shipment (Production)'!CF27</f>
        <v>0</v>
      </c>
      <c r="CI27" s="3">
        <f>'Shipment (Production)'!CG27</f>
        <v>0</v>
      </c>
      <c r="CJ27" s="80">
        <f t="shared" si="111"/>
        <v>0</v>
      </c>
      <c r="CK27" s="3">
        <f>'Shipment (Production)'!CH27</f>
        <v>0</v>
      </c>
      <c r="CL27" s="3">
        <f>'Shipment (Production)'!CI27</f>
        <v>0</v>
      </c>
      <c r="CM27" s="3">
        <f>'Shipment (Production)'!CK27</f>
        <v>0</v>
      </c>
      <c r="CN27" s="3">
        <f>'Shipment (Production)'!CL27</f>
        <v>0</v>
      </c>
      <c r="CO27" s="80">
        <f t="shared" si="112"/>
        <v>0</v>
      </c>
      <c r="CP27" s="3">
        <f>'Shipment (Production)'!CM27</f>
        <v>0</v>
      </c>
      <c r="CQ27" s="3">
        <f>'Shipment (Production)'!CN27</f>
        <v>0</v>
      </c>
      <c r="CR27" s="3">
        <f>'Shipment (Production)'!CP27</f>
        <v>0</v>
      </c>
      <c r="CS27" s="3">
        <f>'Shipment (Production)'!CQ27</f>
        <v>0</v>
      </c>
      <c r="CT27" s="80">
        <f t="shared" si="113"/>
        <v>0</v>
      </c>
      <c r="CU27" s="3">
        <f>'Shipment (Production)'!CR27</f>
        <v>0</v>
      </c>
      <c r="CV27" s="3">
        <f>'Shipment (Production)'!CS27</f>
        <v>0</v>
      </c>
      <c r="CW27" s="3">
        <f>'Shipment (Production)'!CU27</f>
        <v>0</v>
      </c>
      <c r="CX27" s="3">
        <f>'Shipment (Production)'!CV27</f>
        <v>0</v>
      </c>
      <c r="CY27" s="80">
        <f t="shared" si="114"/>
        <v>0</v>
      </c>
      <c r="CZ27" s="3">
        <f>'Shipment (Production)'!CW27</f>
        <v>0</v>
      </c>
      <c r="DA27" s="3">
        <f>'Shipment (Production)'!CX27</f>
        <v>0</v>
      </c>
      <c r="DB27" s="3">
        <f>'Shipment (Production)'!CZ27</f>
        <v>0</v>
      </c>
      <c r="DC27" s="3">
        <f>'Shipment (Production)'!DA27</f>
        <v>0</v>
      </c>
      <c r="DD27" s="80">
        <f t="shared" si="115"/>
        <v>0</v>
      </c>
      <c r="DE27" s="3">
        <f>'Shipment (Production)'!DB27</f>
        <v>0</v>
      </c>
      <c r="DF27" s="3">
        <f>'Shipment (Production)'!DC27</f>
        <v>0</v>
      </c>
      <c r="DG27" s="3">
        <f>'Shipment (Production)'!DE27</f>
        <v>0</v>
      </c>
      <c r="DH27" s="3">
        <f>'Shipment (Production)'!DF27</f>
        <v>0</v>
      </c>
      <c r="DI27" s="80">
        <f t="shared" si="116"/>
        <v>0</v>
      </c>
      <c r="DJ27" s="3">
        <f>'Shipment (Production)'!DG27</f>
        <v>0</v>
      </c>
      <c r="DK27" s="3">
        <f>'Shipment (Production)'!DH27</f>
        <v>0</v>
      </c>
      <c r="DL27" s="3">
        <f>'Shipment (Production)'!DJ27</f>
        <v>0</v>
      </c>
      <c r="DM27" s="3">
        <f>'Shipment (Production)'!DK27</f>
        <v>0</v>
      </c>
      <c r="DN27" s="80">
        <f t="shared" si="117"/>
        <v>0</v>
      </c>
      <c r="DO27" s="3">
        <f>'Shipment (Production)'!DL27</f>
        <v>0</v>
      </c>
      <c r="DP27" s="3">
        <f>'Shipment (Production)'!DM27</f>
        <v>0</v>
      </c>
      <c r="DQ27" s="3">
        <f>'Shipment (Production)'!DO27</f>
        <v>0</v>
      </c>
      <c r="DR27" s="3">
        <f>'Shipment (Production)'!DP27</f>
        <v>0</v>
      </c>
      <c r="DS27" s="80">
        <f t="shared" si="118"/>
        <v>0</v>
      </c>
      <c r="DT27" s="12">
        <f t="shared" si="119"/>
        <v>0</v>
      </c>
      <c r="DU27" s="3">
        <f>'Shipment (Production)'!DQ27</f>
        <v>0</v>
      </c>
      <c r="DV27" s="3">
        <f>'Shipment (Production)'!DR27</f>
        <v>0</v>
      </c>
      <c r="DW27" s="3">
        <f>'Shipment (Production)'!DU27</f>
        <v>0</v>
      </c>
      <c r="DX27" s="3">
        <f>'Shipment (Production)'!DV27</f>
        <v>0</v>
      </c>
      <c r="DY27" s="80">
        <f t="shared" si="120"/>
        <v>0</v>
      </c>
      <c r="DZ27" s="3">
        <f>'Shipment (Production)'!DV27</f>
        <v>0</v>
      </c>
      <c r="EA27" s="3">
        <f>'Shipment (Production)'!DW27</f>
        <v>0</v>
      </c>
      <c r="EB27" s="3">
        <f>'Shipment (Production)'!DZ27</f>
        <v>0</v>
      </c>
      <c r="EC27" s="3">
        <f>'Shipment (Production)'!EA27</f>
        <v>0</v>
      </c>
      <c r="ED27" s="80">
        <f t="shared" si="121"/>
        <v>0</v>
      </c>
      <c r="EE27" s="3">
        <f>'Shipment (Production)'!EA27</f>
        <v>0</v>
      </c>
      <c r="EF27" s="3">
        <f>'Shipment (Production)'!EB27</f>
        <v>0</v>
      </c>
      <c r="EG27" s="3">
        <f>'Shipment (Production)'!EE27</f>
        <v>0</v>
      </c>
      <c r="EH27" s="3">
        <f>'Shipment (Production)'!EF27</f>
        <v>0</v>
      </c>
      <c r="EI27" s="80">
        <f t="shared" si="122"/>
        <v>0</v>
      </c>
      <c r="EJ27" s="3">
        <f>'Shipment (Production)'!EF27</f>
        <v>0</v>
      </c>
      <c r="EK27" s="3">
        <f>'Shipment (Production)'!EG27</f>
        <v>0</v>
      </c>
      <c r="EL27" s="3">
        <f>'Shipment (Production)'!EJ27</f>
        <v>0</v>
      </c>
      <c r="EM27" s="3">
        <f>'Shipment (Production)'!EK27</f>
        <v>0</v>
      </c>
      <c r="EN27" s="80">
        <f t="shared" si="123"/>
        <v>0</v>
      </c>
      <c r="EO27" s="3">
        <f>'Shipment (Production)'!EK27</f>
        <v>0</v>
      </c>
      <c r="EP27" s="3">
        <f>'Shipment (Production)'!EL27</f>
        <v>0</v>
      </c>
      <c r="EQ27" s="3">
        <f>'Shipment (Production)'!EO27</f>
        <v>0</v>
      </c>
      <c r="ER27" s="3">
        <f>'Shipment (Production)'!EP27</f>
        <v>0</v>
      </c>
      <c r="ES27" s="80">
        <f t="shared" si="124"/>
        <v>0</v>
      </c>
      <c r="ET27" s="3">
        <f>'Shipment (Production)'!EP27</f>
        <v>0</v>
      </c>
      <c r="EU27" s="3">
        <f>'Shipment (Production)'!EQ27</f>
        <v>0</v>
      </c>
      <c r="EV27" s="3">
        <f>'Shipment (Production)'!ET27</f>
        <v>0</v>
      </c>
      <c r="EW27" s="3">
        <f>'Shipment (Production)'!EU27</f>
        <v>0</v>
      </c>
      <c r="EX27" s="80">
        <f t="shared" si="125"/>
        <v>0</v>
      </c>
      <c r="EY27" s="3">
        <f>'Shipment (Production)'!EU27</f>
        <v>0</v>
      </c>
      <c r="EZ27" s="3">
        <f>'Shipment (Production)'!EV27</f>
        <v>0</v>
      </c>
      <c r="FA27" s="3">
        <f>'Shipment (Production)'!EY27</f>
        <v>0</v>
      </c>
      <c r="FB27" s="3">
        <f>'Shipment (Production)'!EZ27</f>
        <v>0</v>
      </c>
      <c r="FC27" s="80">
        <f t="shared" si="126"/>
        <v>0</v>
      </c>
      <c r="FD27" s="3">
        <f>'Shipment (Production)'!EZ27</f>
        <v>0</v>
      </c>
      <c r="FE27" s="3">
        <f>'Shipment (Production)'!FA27</f>
        <v>0</v>
      </c>
      <c r="FF27" s="3">
        <f>'Shipment (Production)'!FD27</f>
        <v>0</v>
      </c>
      <c r="FG27" s="3">
        <f>'Shipment (Production)'!FE27</f>
        <v>0</v>
      </c>
      <c r="FH27" s="80">
        <f t="shared" si="127"/>
        <v>0</v>
      </c>
      <c r="FI27" s="3">
        <f>'Shipment (Production)'!FE27</f>
        <v>0</v>
      </c>
      <c r="FJ27" s="3">
        <f>'Shipment (Production)'!FF27</f>
        <v>0</v>
      </c>
      <c r="FK27" s="3">
        <f>'Shipment (Production)'!FI27</f>
        <v>0</v>
      </c>
      <c r="FL27" s="3">
        <f>'Shipment (Production)'!FJ27</f>
        <v>0</v>
      </c>
      <c r="FM27" s="80">
        <f t="shared" si="128"/>
        <v>0</v>
      </c>
      <c r="FN27" s="3">
        <f>'Shipment (Production)'!FJ27</f>
        <v>0</v>
      </c>
      <c r="FO27" s="3">
        <f>'Shipment (Production)'!FK27</f>
        <v>0</v>
      </c>
      <c r="FP27" s="3">
        <f>'Shipment (Production)'!FN27</f>
        <v>0</v>
      </c>
      <c r="FQ27" s="3">
        <f>'Shipment (Production)'!FO27</f>
        <v>0</v>
      </c>
      <c r="FR27" s="80">
        <f t="shared" si="129"/>
        <v>0</v>
      </c>
      <c r="FS27" s="3">
        <f>'Shipment (Production)'!FO27</f>
        <v>0</v>
      </c>
      <c r="FT27" s="3">
        <f>'Shipment (Production)'!FP27</f>
        <v>0</v>
      </c>
      <c r="FU27" s="3">
        <f>'Shipment (Production)'!FS27</f>
        <v>0</v>
      </c>
      <c r="FV27" s="3">
        <f>'Shipment (Production)'!FT27</f>
        <v>0</v>
      </c>
      <c r="FW27" s="80">
        <f t="shared" si="130"/>
        <v>0</v>
      </c>
      <c r="FX27" s="3">
        <f>'Shipment (Production)'!FT27</f>
        <v>0</v>
      </c>
      <c r="FY27" s="3">
        <f>'Shipment (Production)'!FU27</f>
        <v>0</v>
      </c>
      <c r="FZ27" s="3">
        <f>'Shipment (Production)'!FX27</f>
        <v>0</v>
      </c>
      <c r="GA27" s="3">
        <f>'Shipment (Production)'!FY27</f>
        <v>0</v>
      </c>
      <c r="GB27" s="80">
        <f t="shared" si="131"/>
        <v>0</v>
      </c>
      <c r="GC27" s="12">
        <f t="shared" si="132"/>
        <v>0</v>
      </c>
    </row>
    <row r="28" spans="1:185" x14ac:dyDescent="0.35">
      <c r="A28" s="1" t="s">
        <v>10</v>
      </c>
      <c r="B28" s="1" t="s">
        <v>34</v>
      </c>
      <c r="G28" s="111"/>
      <c r="H28" s="3"/>
      <c r="I28" s="3"/>
      <c r="J28" s="3"/>
      <c r="K28" s="3"/>
      <c r="L28" s="111"/>
      <c r="M28" s="3"/>
      <c r="N28" s="3"/>
      <c r="O28" s="3"/>
      <c r="P28" s="3"/>
      <c r="Q28" s="111"/>
      <c r="R28" s="3"/>
      <c r="S28" s="3"/>
      <c r="T28" s="3"/>
      <c r="U28" s="3"/>
      <c r="V28" s="111"/>
      <c r="W28" s="3"/>
      <c r="X28" s="3"/>
      <c r="Y28" s="3"/>
      <c r="Z28" s="3"/>
      <c r="AA28" s="111"/>
      <c r="AB28" s="3"/>
      <c r="AC28" s="3"/>
      <c r="AD28" s="3"/>
      <c r="AE28" s="3"/>
      <c r="AF28" s="111"/>
      <c r="AG28" s="3"/>
      <c r="AH28" s="3"/>
      <c r="AI28" s="3"/>
      <c r="AJ28" s="3"/>
      <c r="AK28" s="111"/>
      <c r="AL28" s="3"/>
      <c r="AM28" s="3"/>
      <c r="AN28" s="3"/>
      <c r="AO28" s="3"/>
      <c r="AP28" s="111"/>
      <c r="AQ28" s="3"/>
      <c r="AR28" s="3"/>
      <c r="AS28" s="3"/>
      <c r="AT28" s="112"/>
      <c r="AU28" s="80">
        <f t="shared" si="96"/>
        <v>0</v>
      </c>
      <c r="AV28" s="3"/>
      <c r="AW28" s="3"/>
      <c r="AX28" s="3"/>
      <c r="AY28" s="3"/>
      <c r="AZ28" s="80">
        <f t="shared" si="80"/>
        <v>0</v>
      </c>
      <c r="BA28" s="3"/>
      <c r="BB28" s="3"/>
      <c r="BC28" s="3"/>
      <c r="BD28" s="3">
        <f>'Shipment (Production)'!BB28</f>
        <v>0</v>
      </c>
      <c r="BE28" s="80">
        <f t="shared" si="97"/>
        <v>0</v>
      </c>
      <c r="BF28" s="3"/>
      <c r="BG28" s="3"/>
      <c r="BH28" s="3"/>
      <c r="BI28" s="114">
        <f>'Shipment (Production)'!BG28</f>
        <v>0</v>
      </c>
      <c r="BJ28" s="80">
        <f t="shared" si="98"/>
        <v>0</v>
      </c>
      <c r="BK28" s="12">
        <f t="shared" si="35"/>
        <v>0</v>
      </c>
      <c r="BL28" s="84">
        <f>'Shipment (Production)'!BI28</f>
        <v>0</v>
      </c>
      <c r="BM28" s="3"/>
      <c r="BN28" s="3">
        <f>'Shipment (Production)'!BL28</f>
        <v>0</v>
      </c>
      <c r="BO28" s="3">
        <f>'Shipment (Production)'!BM28</f>
        <v>0</v>
      </c>
      <c r="BP28" s="80">
        <f t="shared" si="83"/>
        <v>0</v>
      </c>
      <c r="BQ28" s="3">
        <f>'Shipment (Production)'!BN28</f>
        <v>0</v>
      </c>
      <c r="BR28" s="3">
        <f>'Shipment (Production)'!BO28</f>
        <v>0</v>
      </c>
      <c r="BS28" s="3">
        <f>'Shipment (Production)'!BQ28</f>
        <v>0</v>
      </c>
      <c r="BT28" s="3">
        <f>'Shipment (Production)'!BR28</f>
        <v>0</v>
      </c>
      <c r="BU28" s="80">
        <f t="shared" si="99"/>
        <v>0</v>
      </c>
      <c r="BV28" s="3">
        <f>'Shipment (Production)'!BS28</f>
        <v>0</v>
      </c>
      <c r="BW28" s="3">
        <f>'Shipment (Production)'!BT28</f>
        <v>0</v>
      </c>
      <c r="BX28" s="3">
        <f>'Shipment (Production)'!BV28</f>
        <v>0</v>
      </c>
      <c r="BY28" s="3">
        <f>'Shipment (Production)'!BW28</f>
        <v>0</v>
      </c>
      <c r="BZ28" s="80">
        <f t="shared" si="109"/>
        <v>0</v>
      </c>
      <c r="CA28" s="3">
        <f>'Shipment (Production)'!BX28</f>
        <v>0</v>
      </c>
      <c r="CB28" s="3">
        <f>'Shipment (Production)'!BY28</f>
        <v>0</v>
      </c>
      <c r="CC28" s="3">
        <f>'Shipment (Production)'!CA28</f>
        <v>0</v>
      </c>
      <c r="CD28" s="3">
        <f>'Shipment (Production)'!CB28</f>
        <v>0</v>
      </c>
      <c r="CE28" s="80">
        <f t="shared" si="110"/>
        <v>0</v>
      </c>
      <c r="CF28" s="3">
        <f>'Shipment (Production)'!CC28</f>
        <v>0</v>
      </c>
      <c r="CG28" s="3">
        <f>'Shipment (Production)'!CD28</f>
        <v>0</v>
      </c>
      <c r="CH28" s="3">
        <f>'Shipment (Production)'!CF28</f>
        <v>0</v>
      </c>
      <c r="CI28" s="3">
        <f>'Shipment (Production)'!CG28</f>
        <v>0</v>
      </c>
      <c r="CJ28" s="80">
        <f t="shared" si="111"/>
        <v>0</v>
      </c>
      <c r="CK28" s="3">
        <f>'Shipment (Production)'!CH28</f>
        <v>0</v>
      </c>
      <c r="CL28" s="3">
        <f>'Shipment (Production)'!CI28</f>
        <v>0</v>
      </c>
      <c r="CM28" s="3">
        <f>'Shipment (Production)'!CK28</f>
        <v>0</v>
      </c>
      <c r="CN28" s="3">
        <f>'Shipment (Production)'!CL28</f>
        <v>0</v>
      </c>
      <c r="CO28" s="80">
        <f t="shared" si="112"/>
        <v>0</v>
      </c>
      <c r="CP28" s="3">
        <f>'Shipment (Production)'!CM28</f>
        <v>0</v>
      </c>
      <c r="CQ28" s="3">
        <f>'Shipment (Production)'!CN28</f>
        <v>0</v>
      </c>
      <c r="CR28" s="3">
        <f>'Shipment (Production)'!CP28</f>
        <v>0</v>
      </c>
      <c r="CS28" s="3">
        <f>'Shipment (Production)'!CQ28</f>
        <v>0</v>
      </c>
      <c r="CT28" s="80">
        <f t="shared" si="113"/>
        <v>0</v>
      </c>
      <c r="CU28" s="3">
        <f>'Shipment (Production)'!CR28</f>
        <v>0</v>
      </c>
      <c r="CV28" s="3">
        <f>'Shipment (Production)'!CS28</f>
        <v>0</v>
      </c>
      <c r="CW28" s="3">
        <f>'Shipment (Production)'!CU28</f>
        <v>0</v>
      </c>
      <c r="CX28" s="3">
        <f>'Shipment (Production)'!CV28</f>
        <v>0</v>
      </c>
      <c r="CY28" s="80">
        <f t="shared" si="114"/>
        <v>0</v>
      </c>
      <c r="CZ28" s="3">
        <f>'Shipment (Production)'!CW28</f>
        <v>0</v>
      </c>
      <c r="DA28" s="3">
        <f>'Shipment (Production)'!CX28</f>
        <v>0</v>
      </c>
      <c r="DB28" s="3">
        <f>'Shipment (Production)'!CZ28</f>
        <v>0</v>
      </c>
      <c r="DC28" s="3">
        <f>'Shipment (Production)'!DA28</f>
        <v>0</v>
      </c>
      <c r="DD28" s="80">
        <f t="shared" si="115"/>
        <v>0</v>
      </c>
      <c r="DE28" s="3">
        <f>'Shipment (Production)'!DB28</f>
        <v>0</v>
      </c>
      <c r="DF28" s="3">
        <f>'Shipment (Production)'!DC28</f>
        <v>0</v>
      </c>
      <c r="DG28" s="3">
        <f>'Shipment (Production)'!DE28</f>
        <v>0</v>
      </c>
      <c r="DH28" s="3">
        <f>'Shipment (Production)'!DF28</f>
        <v>0</v>
      </c>
      <c r="DI28" s="80">
        <f t="shared" si="116"/>
        <v>0</v>
      </c>
      <c r="DJ28" s="3">
        <f>'Shipment (Production)'!DG28</f>
        <v>0</v>
      </c>
      <c r="DK28" s="3">
        <f>'Shipment (Production)'!DH28</f>
        <v>0</v>
      </c>
      <c r="DL28" s="3">
        <f>'Shipment (Production)'!DJ28</f>
        <v>0</v>
      </c>
      <c r="DM28" s="3">
        <f>'Shipment (Production)'!DK28</f>
        <v>0</v>
      </c>
      <c r="DN28" s="80">
        <f t="shared" si="117"/>
        <v>0</v>
      </c>
      <c r="DO28" s="3">
        <f>'Shipment (Production)'!DL28</f>
        <v>0</v>
      </c>
      <c r="DP28" s="3">
        <f>'Shipment (Production)'!DM28</f>
        <v>0</v>
      </c>
      <c r="DQ28" s="3">
        <f>'Shipment (Production)'!DO28</f>
        <v>0</v>
      </c>
      <c r="DR28" s="3">
        <f>'Shipment (Production)'!DP28</f>
        <v>0</v>
      </c>
      <c r="DS28" s="80">
        <f t="shared" si="118"/>
        <v>0</v>
      </c>
      <c r="DT28" s="12">
        <f t="shared" si="119"/>
        <v>0</v>
      </c>
      <c r="DU28" s="3">
        <f>'Shipment (Production)'!DQ28</f>
        <v>0</v>
      </c>
      <c r="DV28" s="3">
        <f>'Shipment (Production)'!DR28</f>
        <v>0</v>
      </c>
      <c r="DW28" s="3">
        <f>'Shipment (Production)'!DU28</f>
        <v>0</v>
      </c>
      <c r="DX28" s="3">
        <f>'Shipment (Production)'!DV28</f>
        <v>0</v>
      </c>
      <c r="DY28" s="80">
        <f t="shared" si="120"/>
        <v>0</v>
      </c>
      <c r="DZ28" s="3">
        <f>'Shipment (Production)'!DV28</f>
        <v>0</v>
      </c>
      <c r="EA28" s="3">
        <f>'Shipment (Production)'!DW28</f>
        <v>0</v>
      </c>
      <c r="EB28" s="3">
        <f>'Shipment (Production)'!DZ28</f>
        <v>0</v>
      </c>
      <c r="EC28" s="3">
        <f>'Shipment (Production)'!EA28</f>
        <v>0</v>
      </c>
      <c r="ED28" s="80">
        <f t="shared" si="121"/>
        <v>0</v>
      </c>
      <c r="EE28" s="3">
        <f>'Shipment (Production)'!EA28</f>
        <v>0</v>
      </c>
      <c r="EF28" s="3">
        <f>'Shipment (Production)'!EB28</f>
        <v>0</v>
      </c>
      <c r="EG28" s="3">
        <f>'Shipment (Production)'!EE28</f>
        <v>0</v>
      </c>
      <c r="EH28" s="3">
        <f>'Shipment (Production)'!EF28</f>
        <v>0</v>
      </c>
      <c r="EI28" s="80">
        <f t="shared" si="122"/>
        <v>0</v>
      </c>
      <c r="EJ28" s="3">
        <f>'Shipment (Production)'!EF28</f>
        <v>0</v>
      </c>
      <c r="EK28" s="3">
        <f>'Shipment (Production)'!EG28</f>
        <v>0</v>
      </c>
      <c r="EL28" s="3">
        <f>'Shipment (Production)'!EJ28</f>
        <v>0</v>
      </c>
      <c r="EM28" s="3">
        <f>'Shipment (Production)'!EK28</f>
        <v>0</v>
      </c>
      <c r="EN28" s="80">
        <f t="shared" si="123"/>
        <v>0</v>
      </c>
      <c r="EO28" s="3">
        <f>'Shipment (Production)'!EK28</f>
        <v>0</v>
      </c>
      <c r="EP28" s="3">
        <f>'Shipment (Production)'!EL28</f>
        <v>0</v>
      </c>
      <c r="EQ28" s="3">
        <f>'Shipment (Production)'!EO28</f>
        <v>0</v>
      </c>
      <c r="ER28" s="3">
        <f>'Shipment (Production)'!EP28</f>
        <v>0</v>
      </c>
      <c r="ES28" s="80">
        <f t="shared" si="124"/>
        <v>0</v>
      </c>
      <c r="ET28" s="3">
        <f>'Shipment (Production)'!EP28</f>
        <v>0</v>
      </c>
      <c r="EU28" s="3">
        <f>'Shipment (Production)'!EQ28</f>
        <v>0</v>
      </c>
      <c r="EV28" s="3">
        <f>'Shipment (Production)'!ET28</f>
        <v>0</v>
      </c>
      <c r="EW28" s="3">
        <f>'Shipment (Production)'!EU28</f>
        <v>0</v>
      </c>
      <c r="EX28" s="80">
        <f t="shared" si="125"/>
        <v>0</v>
      </c>
      <c r="EY28" s="3">
        <f>'Shipment (Production)'!EU28</f>
        <v>0</v>
      </c>
      <c r="EZ28" s="3">
        <f>'Shipment (Production)'!EV28</f>
        <v>0</v>
      </c>
      <c r="FA28" s="3">
        <f>'Shipment (Production)'!EY28</f>
        <v>0</v>
      </c>
      <c r="FB28" s="3">
        <f>'Shipment (Production)'!EZ28</f>
        <v>0</v>
      </c>
      <c r="FC28" s="80">
        <f t="shared" si="126"/>
        <v>0</v>
      </c>
      <c r="FD28" s="3">
        <f>'Shipment (Production)'!EZ28</f>
        <v>0</v>
      </c>
      <c r="FE28" s="3">
        <f>'Shipment (Production)'!FA28</f>
        <v>0</v>
      </c>
      <c r="FF28" s="3">
        <f>'Shipment (Production)'!FD28</f>
        <v>0</v>
      </c>
      <c r="FG28" s="3">
        <f>'Shipment (Production)'!FE28</f>
        <v>0</v>
      </c>
      <c r="FH28" s="80">
        <f t="shared" si="127"/>
        <v>0</v>
      </c>
      <c r="FI28" s="3">
        <f>'Shipment (Production)'!FE28</f>
        <v>0</v>
      </c>
      <c r="FJ28" s="3">
        <f>'Shipment (Production)'!FF28</f>
        <v>0</v>
      </c>
      <c r="FK28" s="3">
        <f>'Shipment (Production)'!FI28</f>
        <v>0</v>
      </c>
      <c r="FL28" s="3">
        <f>'Shipment (Production)'!FJ28</f>
        <v>0</v>
      </c>
      <c r="FM28" s="80">
        <f t="shared" si="128"/>
        <v>0</v>
      </c>
      <c r="FN28" s="3">
        <f>'Shipment (Production)'!FJ28</f>
        <v>0</v>
      </c>
      <c r="FO28" s="3">
        <f>'Shipment (Production)'!FK28</f>
        <v>0</v>
      </c>
      <c r="FP28" s="3">
        <f>'Shipment (Production)'!FN28</f>
        <v>0</v>
      </c>
      <c r="FQ28" s="3">
        <f>'Shipment (Production)'!FO28</f>
        <v>0</v>
      </c>
      <c r="FR28" s="80">
        <f t="shared" si="129"/>
        <v>0</v>
      </c>
      <c r="FS28" s="3">
        <f>'Shipment (Production)'!FO28</f>
        <v>0</v>
      </c>
      <c r="FT28" s="3">
        <f>'Shipment (Production)'!FP28</f>
        <v>0</v>
      </c>
      <c r="FU28" s="3">
        <f>'Shipment (Production)'!FS28</f>
        <v>0</v>
      </c>
      <c r="FV28" s="3">
        <f>'Shipment (Production)'!FT28</f>
        <v>0</v>
      </c>
      <c r="FW28" s="80">
        <f t="shared" si="130"/>
        <v>0</v>
      </c>
      <c r="FX28" s="3">
        <f>'Shipment (Production)'!FT28</f>
        <v>0</v>
      </c>
      <c r="FY28" s="3">
        <f>'Shipment (Production)'!FU28</f>
        <v>0</v>
      </c>
      <c r="FZ28" s="3">
        <f>'Shipment (Production)'!FX28</f>
        <v>0</v>
      </c>
      <c r="GA28" s="3">
        <f>'Shipment (Production)'!FY28</f>
        <v>0</v>
      </c>
      <c r="GB28" s="80">
        <f t="shared" si="131"/>
        <v>0</v>
      </c>
      <c r="GC28" s="12">
        <f t="shared" si="132"/>
        <v>0</v>
      </c>
    </row>
    <row r="29" spans="1:185" x14ac:dyDescent="0.35">
      <c r="A29" s="1" t="s">
        <v>4</v>
      </c>
      <c r="B29" s="1" t="s">
        <v>35</v>
      </c>
      <c r="G29" s="111"/>
      <c r="H29" s="3"/>
      <c r="I29" s="3"/>
      <c r="J29" s="3"/>
      <c r="K29" s="3"/>
      <c r="L29" s="111"/>
      <c r="M29" s="3"/>
      <c r="N29" s="3"/>
      <c r="O29" s="3"/>
      <c r="P29" s="3"/>
      <c r="Q29" s="111"/>
      <c r="R29" s="3"/>
      <c r="S29" s="3"/>
      <c r="T29" s="3"/>
      <c r="U29" s="3"/>
      <c r="V29" s="111"/>
      <c r="W29" s="3"/>
      <c r="X29" s="3"/>
      <c r="Y29" s="3"/>
      <c r="Z29" s="3"/>
      <c r="AA29" s="111"/>
      <c r="AB29" s="3"/>
      <c r="AC29" s="3"/>
      <c r="AD29" s="3"/>
      <c r="AE29" s="3"/>
      <c r="AF29" s="111"/>
      <c r="AG29" s="3"/>
      <c r="AH29" s="3"/>
      <c r="AI29" s="3"/>
      <c r="AJ29" s="3"/>
      <c r="AK29" s="111"/>
      <c r="AL29" s="3"/>
      <c r="AM29" s="3"/>
      <c r="AN29" s="3"/>
      <c r="AO29" s="3"/>
      <c r="AP29" s="111"/>
      <c r="AQ29" s="3"/>
      <c r="AR29" s="3"/>
      <c r="AS29" s="3"/>
      <c r="AT29" s="112"/>
      <c r="AU29" s="80">
        <f t="shared" si="96"/>
        <v>0</v>
      </c>
      <c r="AV29" s="3"/>
      <c r="AW29" s="3"/>
      <c r="AX29" s="3"/>
      <c r="AY29" s="3"/>
      <c r="AZ29" s="80">
        <f t="shared" si="80"/>
        <v>0</v>
      </c>
      <c r="BA29" s="3"/>
      <c r="BB29" s="3"/>
      <c r="BC29" s="3"/>
      <c r="BD29" s="3">
        <f>'Shipment (Production)'!BB29</f>
        <v>0</v>
      </c>
      <c r="BE29" s="80">
        <f t="shared" si="97"/>
        <v>0</v>
      </c>
      <c r="BF29" s="3"/>
      <c r="BG29" s="3"/>
      <c r="BH29" s="3"/>
      <c r="BI29" s="114">
        <f>'Shipment (Production)'!BG29</f>
        <v>0</v>
      </c>
      <c r="BJ29" s="80">
        <f t="shared" si="98"/>
        <v>0</v>
      </c>
      <c r="BK29" s="12">
        <f t="shared" si="35"/>
        <v>0</v>
      </c>
      <c r="BL29" s="84">
        <f>'Shipment (Production)'!BI29</f>
        <v>0</v>
      </c>
      <c r="BM29" s="3"/>
      <c r="BN29" s="3">
        <f>'Shipment (Production)'!BL29</f>
        <v>0</v>
      </c>
      <c r="BO29" s="3">
        <f>'Shipment (Production)'!BM29</f>
        <v>0</v>
      </c>
      <c r="BP29" s="80">
        <f t="shared" si="83"/>
        <v>0</v>
      </c>
      <c r="BQ29" s="3">
        <f>'Shipment (Production)'!BN29</f>
        <v>0</v>
      </c>
      <c r="BR29" s="3">
        <f>'Shipment (Production)'!BO29</f>
        <v>0</v>
      </c>
      <c r="BS29" s="3">
        <f>'Shipment (Production)'!BQ29</f>
        <v>0</v>
      </c>
      <c r="BT29" s="3">
        <f>'Shipment (Production)'!BR29</f>
        <v>0</v>
      </c>
      <c r="BU29" s="80">
        <f t="shared" si="99"/>
        <v>0</v>
      </c>
      <c r="BV29" s="3">
        <f>'Shipment (Production)'!BS29</f>
        <v>0</v>
      </c>
      <c r="BW29" s="3">
        <f>'Shipment (Production)'!BT29</f>
        <v>0</v>
      </c>
      <c r="BX29" s="3">
        <f>'Shipment (Production)'!BV29</f>
        <v>0</v>
      </c>
      <c r="BY29" s="3">
        <f>'Shipment (Production)'!BW29</f>
        <v>0</v>
      </c>
      <c r="BZ29" s="80">
        <f t="shared" si="109"/>
        <v>0</v>
      </c>
      <c r="CA29" s="3">
        <f>'Shipment (Production)'!BX29</f>
        <v>0</v>
      </c>
      <c r="CB29" s="3">
        <f>'Shipment (Production)'!BY29</f>
        <v>0</v>
      </c>
      <c r="CC29" s="3">
        <f>'Shipment (Production)'!CA29</f>
        <v>0</v>
      </c>
      <c r="CD29" s="3">
        <f>'Shipment (Production)'!CB29</f>
        <v>0</v>
      </c>
      <c r="CE29" s="80">
        <f t="shared" si="110"/>
        <v>0</v>
      </c>
      <c r="CF29" s="3">
        <f>'Shipment (Production)'!CC29</f>
        <v>0</v>
      </c>
      <c r="CG29" s="3">
        <f>'Shipment (Production)'!CD29</f>
        <v>0</v>
      </c>
      <c r="CH29" s="3">
        <f>'Shipment (Production)'!CF29</f>
        <v>0</v>
      </c>
      <c r="CI29" s="3">
        <f>'Shipment (Production)'!CG29</f>
        <v>0</v>
      </c>
      <c r="CJ29" s="80">
        <f t="shared" si="111"/>
        <v>0</v>
      </c>
      <c r="CK29" s="3">
        <f>'Shipment (Production)'!CH29</f>
        <v>0</v>
      </c>
      <c r="CL29" s="3">
        <f>'Shipment (Production)'!CI29</f>
        <v>0</v>
      </c>
      <c r="CM29" s="3">
        <f>'Shipment (Production)'!CK29</f>
        <v>0</v>
      </c>
      <c r="CN29" s="3">
        <f>'Shipment (Production)'!CL29</f>
        <v>0</v>
      </c>
      <c r="CO29" s="80">
        <f t="shared" si="112"/>
        <v>0</v>
      </c>
      <c r="CP29" s="3">
        <f>'Shipment (Production)'!CM29</f>
        <v>0</v>
      </c>
      <c r="CQ29" s="3">
        <f>'Shipment (Production)'!CN29</f>
        <v>0</v>
      </c>
      <c r="CR29" s="3">
        <f>'Shipment (Production)'!CP29</f>
        <v>0</v>
      </c>
      <c r="CS29" s="3">
        <f>'Shipment (Production)'!CQ29</f>
        <v>0</v>
      </c>
      <c r="CT29" s="80">
        <f t="shared" si="113"/>
        <v>0</v>
      </c>
      <c r="CU29" s="3">
        <f>'Shipment (Production)'!CR29</f>
        <v>0</v>
      </c>
      <c r="CV29" s="3">
        <f>'Shipment (Production)'!CS29</f>
        <v>0</v>
      </c>
      <c r="CW29" s="3">
        <f>'Shipment (Production)'!CU29</f>
        <v>0</v>
      </c>
      <c r="CX29" s="3">
        <f>'Shipment (Production)'!CV29</f>
        <v>0</v>
      </c>
      <c r="CY29" s="80">
        <f t="shared" si="114"/>
        <v>0</v>
      </c>
      <c r="CZ29" s="3">
        <f>'Shipment (Production)'!CW29</f>
        <v>0</v>
      </c>
      <c r="DA29" s="3">
        <f>'Shipment (Production)'!CX29</f>
        <v>0</v>
      </c>
      <c r="DB29" s="3">
        <f>'Shipment (Production)'!CZ29</f>
        <v>0</v>
      </c>
      <c r="DC29" s="3">
        <f>'Shipment (Production)'!DA29</f>
        <v>0</v>
      </c>
      <c r="DD29" s="80">
        <f t="shared" si="115"/>
        <v>0</v>
      </c>
      <c r="DE29" s="3">
        <f>'Shipment (Production)'!DB29</f>
        <v>0</v>
      </c>
      <c r="DF29" s="3">
        <f>'Shipment (Production)'!DC29</f>
        <v>0</v>
      </c>
      <c r="DG29" s="3">
        <f>'Shipment (Production)'!DE29</f>
        <v>0</v>
      </c>
      <c r="DH29" s="3">
        <f>'Shipment (Production)'!DF29</f>
        <v>0</v>
      </c>
      <c r="DI29" s="80">
        <f t="shared" si="116"/>
        <v>0</v>
      </c>
      <c r="DJ29" s="3">
        <f>'Shipment (Production)'!DG29</f>
        <v>0</v>
      </c>
      <c r="DK29" s="3">
        <f>'Shipment (Production)'!DH29</f>
        <v>0</v>
      </c>
      <c r="DL29" s="3">
        <f>'Shipment (Production)'!DJ29</f>
        <v>0</v>
      </c>
      <c r="DM29" s="3">
        <f>'Shipment (Production)'!DK29</f>
        <v>0</v>
      </c>
      <c r="DN29" s="80">
        <f t="shared" si="117"/>
        <v>0</v>
      </c>
      <c r="DO29" s="3">
        <f>'Shipment (Production)'!DL29</f>
        <v>0</v>
      </c>
      <c r="DP29" s="3">
        <f>'Shipment (Production)'!DM29</f>
        <v>0</v>
      </c>
      <c r="DQ29" s="3">
        <f>'Shipment (Production)'!DO29</f>
        <v>0</v>
      </c>
      <c r="DR29" s="3">
        <f>'Shipment (Production)'!DP29</f>
        <v>0</v>
      </c>
      <c r="DS29" s="80">
        <f t="shared" si="118"/>
        <v>0</v>
      </c>
      <c r="DT29" s="12">
        <f t="shared" si="119"/>
        <v>0</v>
      </c>
      <c r="DU29" s="3">
        <f>'Shipment (Production)'!DQ29</f>
        <v>0</v>
      </c>
      <c r="DV29" s="3">
        <f>'Shipment (Production)'!DR29</f>
        <v>0</v>
      </c>
      <c r="DW29" s="3">
        <f>'Shipment (Production)'!DU29</f>
        <v>0</v>
      </c>
      <c r="DX29" s="3">
        <f>'Shipment (Production)'!DV29</f>
        <v>0</v>
      </c>
      <c r="DY29" s="80">
        <f t="shared" si="120"/>
        <v>0</v>
      </c>
      <c r="DZ29" s="3">
        <f>'Shipment (Production)'!DV29</f>
        <v>0</v>
      </c>
      <c r="EA29" s="3">
        <f>'Shipment (Production)'!DW29</f>
        <v>0</v>
      </c>
      <c r="EB29" s="3">
        <f>'Shipment (Production)'!DZ29</f>
        <v>0</v>
      </c>
      <c r="EC29" s="3">
        <f>'Shipment (Production)'!EA29</f>
        <v>0</v>
      </c>
      <c r="ED29" s="80">
        <f t="shared" si="121"/>
        <v>0</v>
      </c>
      <c r="EE29" s="3">
        <f>'Shipment (Production)'!EA29</f>
        <v>0</v>
      </c>
      <c r="EF29" s="3">
        <f>'Shipment (Production)'!EB29</f>
        <v>0</v>
      </c>
      <c r="EG29" s="3">
        <f>'Shipment (Production)'!EE29</f>
        <v>0</v>
      </c>
      <c r="EH29" s="3">
        <f>'Shipment (Production)'!EF29</f>
        <v>0</v>
      </c>
      <c r="EI29" s="80">
        <f t="shared" si="122"/>
        <v>0</v>
      </c>
      <c r="EJ29" s="3">
        <f>'Shipment (Production)'!EF29</f>
        <v>0</v>
      </c>
      <c r="EK29" s="3">
        <f>'Shipment (Production)'!EG29</f>
        <v>0</v>
      </c>
      <c r="EL29" s="3">
        <f>'Shipment (Production)'!EJ29</f>
        <v>0</v>
      </c>
      <c r="EM29" s="3">
        <f>'Shipment (Production)'!EK29</f>
        <v>0</v>
      </c>
      <c r="EN29" s="80">
        <f t="shared" si="123"/>
        <v>0</v>
      </c>
      <c r="EO29" s="3">
        <f>'Shipment (Production)'!EK29</f>
        <v>0</v>
      </c>
      <c r="EP29" s="3">
        <f>'Shipment (Production)'!EL29</f>
        <v>0</v>
      </c>
      <c r="EQ29" s="3">
        <f>'Shipment (Production)'!EO29</f>
        <v>0</v>
      </c>
      <c r="ER29" s="3">
        <f>'Shipment (Production)'!EP29</f>
        <v>0</v>
      </c>
      <c r="ES29" s="80">
        <f t="shared" si="124"/>
        <v>0</v>
      </c>
      <c r="ET29" s="3">
        <f>'Shipment (Production)'!EP29</f>
        <v>0</v>
      </c>
      <c r="EU29" s="3">
        <f>'Shipment (Production)'!EQ29</f>
        <v>0</v>
      </c>
      <c r="EV29" s="3">
        <f>'Shipment (Production)'!ET29</f>
        <v>0</v>
      </c>
      <c r="EW29" s="3">
        <f>'Shipment (Production)'!EU29</f>
        <v>0</v>
      </c>
      <c r="EX29" s="80">
        <f t="shared" si="125"/>
        <v>0</v>
      </c>
      <c r="EY29" s="3">
        <f>'Shipment (Production)'!EU29</f>
        <v>0</v>
      </c>
      <c r="EZ29" s="3">
        <f>'Shipment (Production)'!EV29</f>
        <v>0</v>
      </c>
      <c r="FA29" s="3">
        <f>'Shipment (Production)'!EY29</f>
        <v>0</v>
      </c>
      <c r="FB29" s="3">
        <f>'Shipment (Production)'!EZ29</f>
        <v>0</v>
      </c>
      <c r="FC29" s="80">
        <f t="shared" si="126"/>
        <v>0</v>
      </c>
      <c r="FD29" s="3">
        <f>'Shipment (Production)'!EZ29</f>
        <v>0</v>
      </c>
      <c r="FE29" s="3">
        <f>'Shipment (Production)'!FA29</f>
        <v>0</v>
      </c>
      <c r="FF29" s="3">
        <f>'Shipment (Production)'!FD29</f>
        <v>0</v>
      </c>
      <c r="FG29" s="3">
        <f>'Shipment (Production)'!FE29</f>
        <v>0</v>
      </c>
      <c r="FH29" s="80">
        <f t="shared" si="127"/>
        <v>0</v>
      </c>
      <c r="FI29" s="3">
        <f>'Shipment (Production)'!FE29</f>
        <v>0</v>
      </c>
      <c r="FJ29" s="3">
        <f>'Shipment (Production)'!FF29</f>
        <v>0</v>
      </c>
      <c r="FK29" s="3">
        <f>'Shipment (Production)'!FI29</f>
        <v>0</v>
      </c>
      <c r="FL29" s="3">
        <f>'Shipment (Production)'!FJ29</f>
        <v>0</v>
      </c>
      <c r="FM29" s="80">
        <f t="shared" si="128"/>
        <v>0</v>
      </c>
      <c r="FN29" s="3">
        <f>'Shipment (Production)'!FJ29</f>
        <v>0</v>
      </c>
      <c r="FO29" s="3">
        <f>'Shipment (Production)'!FK29</f>
        <v>0</v>
      </c>
      <c r="FP29" s="3">
        <f>'Shipment (Production)'!FN29</f>
        <v>0</v>
      </c>
      <c r="FQ29" s="3">
        <f>'Shipment (Production)'!FO29</f>
        <v>0</v>
      </c>
      <c r="FR29" s="80">
        <f t="shared" si="129"/>
        <v>0</v>
      </c>
      <c r="FS29" s="3">
        <f>'Shipment (Production)'!FO29</f>
        <v>0</v>
      </c>
      <c r="FT29" s="3">
        <f>'Shipment (Production)'!FP29</f>
        <v>0</v>
      </c>
      <c r="FU29" s="3">
        <f>'Shipment (Production)'!FS29</f>
        <v>0</v>
      </c>
      <c r="FV29" s="3">
        <f>'Shipment (Production)'!FT29</f>
        <v>0</v>
      </c>
      <c r="FW29" s="80">
        <f t="shared" si="130"/>
        <v>0</v>
      </c>
      <c r="FX29" s="3">
        <f>'Shipment (Production)'!FT29</f>
        <v>0</v>
      </c>
      <c r="FY29" s="3">
        <f>'Shipment (Production)'!FU29</f>
        <v>0</v>
      </c>
      <c r="FZ29" s="3">
        <f>'Shipment (Production)'!FX29</f>
        <v>0</v>
      </c>
      <c r="GA29" s="3">
        <f>'Shipment (Production)'!FY29</f>
        <v>0</v>
      </c>
      <c r="GB29" s="80">
        <f t="shared" si="131"/>
        <v>0</v>
      </c>
      <c r="GC29" s="12">
        <f t="shared" si="132"/>
        <v>0</v>
      </c>
    </row>
    <row r="30" spans="1:185" x14ac:dyDescent="0.35">
      <c r="A30" s="1" t="s">
        <v>16</v>
      </c>
      <c r="B30" s="1" t="s">
        <v>36</v>
      </c>
      <c r="G30" s="111"/>
      <c r="H30" s="3"/>
      <c r="I30" s="3"/>
      <c r="J30" s="3"/>
      <c r="K30" s="3"/>
      <c r="L30" s="111"/>
      <c r="M30" s="3"/>
      <c r="N30" s="3"/>
      <c r="O30" s="3"/>
      <c r="P30" s="3"/>
      <c r="Q30" s="111"/>
      <c r="R30" s="3"/>
      <c r="S30" s="3"/>
      <c r="T30" s="3"/>
      <c r="U30" s="3"/>
      <c r="V30" s="111"/>
      <c r="W30" s="3"/>
      <c r="X30" s="3"/>
      <c r="Y30" s="3"/>
      <c r="Z30" s="3"/>
      <c r="AA30" s="111"/>
      <c r="AB30" s="3"/>
      <c r="AC30" s="3"/>
      <c r="AD30" s="3"/>
      <c r="AE30" s="3"/>
      <c r="AF30" s="111"/>
      <c r="AG30" s="3"/>
      <c r="AH30" s="3"/>
      <c r="AI30" s="3"/>
      <c r="AJ30" s="3"/>
      <c r="AK30" s="111"/>
      <c r="AL30" s="3"/>
      <c r="AM30" s="3"/>
      <c r="AN30" s="3"/>
      <c r="AO30" s="3"/>
      <c r="AP30" s="111"/>
      <c r="AQ30" s="3"/>
      <c r="AR30" s="3"/>
      <c r="AS30" s="3">
        <f>4200+3200+1200+1000+2200+4000+4800+5000</f>
        <v>25600</v>
      </c>
      <c r="AT30" s="112"/>
      <c r="AU30" s="80">
        <f t="shared" si="96"/>
        <v>25600</v>
      </c>
      <c r="AV30" s="3"/>
      <c r="AW30" s="3"/>
      <c r="AX30" s="3"/>
      <c r="AY30" s="3"/>
      <c r="AZ30" s="80">
        <f t="shared" si="80"/>
        <v>0</v>
      </c>
      <c r="BA30" s="3"/>
      <c r="BB30" s="3"/>
      <c r="BC30" s="3"/>
      <c r="BD30" s="3">
        <f>'Shipment (Production)'!BB30</f>
        <v>0</v>
      </c>
      <c r="BE30" s="80">
        <f t="shared" si="97"/>
        <v>0</v>
      </c>
      <c r="BF30" s="3"/>
      <c r="BG30" s="3"/>
      <c r="BH30" s="3"/>
      <c r="BI30" s="114">
        <f>'Shipment (Production)'!BG30</f>
        <v>0</v>
      </c>
      <c r="BJ30" s="80">
        <f t="shared" si="98"/>
        <v>0</v>
      </c>
      <c r="BK30" s="12">
        <f t="shared" si="35"/>
        <v>25600</v>
      </c>
      <c r="BL30" s="84">
        <f>'Shipment (Production)'!BI30</f>
        <v>0</v>
      </c>
      <c r="BM30" s="3"/>
      <c r="BN30" s="3">
        <f>'Shipment (Production)'!BL30</f>
        <v>0</v>
      </c>
      <c r="BO30" s="3">
        <f>'Shipment (Production)'!BM30</f>
        <v>0</v>
      </c>
      <c r="BP30" s="80">
        <f t="shared" si="83"/>
        <v>0</v>
      </c>
      <c r="BQ30" s="3">
        <f>'Shipment (Production)'!BN30</f>
        <v>0</v>
      </c>
      <c r="BR30" s="3">
        <f>'Shipment (Production)'!BO30</f>
        <v>0</v>
      </c>
      <c r="BS30" s="3">
        <f>'Shipment (Production)'!BQ30</f>
        <v>0</v>
      </c>
      <c r="BT30" s="3">
        <f>'Shipment (Production)'!BR30</f>
        <v>0</v>
      </c>
      <c r="BU30" s="80">
        <f t="shared" si="99"/>
        <v>0</v>
      </c>
      <c r="BV30" s="3">
        <f>'Shipment (Production)'!BS30</f>
        <v>0</v>
      </c>
      <c r="BW30" s="3">
        <f>'Shipment (Production)'!BT30</f>
        <v>0</v>
      </c>
      <c r="BX30" s="3">
        <f>'Shipment (Production)'!BV30</f>
        <v>0</v>
      </c>
      <c r="BY30" s="3">
        <f>'Shipment (Production)'!BW30</f>
        <v>0</v>
      </c>
      <c r="BZ30" s="80">
        <f t="shared" si="109"/>
        <v>0</v>
      </c>
      <c r="CA30" s="3">
        <f>'Shipment (Production)'!BX30</f>
        <v>0</v>
      </c>
      <c r="CB30" s="3">
        <f>'Shipment (Production)'!BY30</f>
        <v>0</v>
      </c>
      <c r="CC30" s="3">
        <f>'Shipment (Production)'!CA30</f>
        <v>0</v>
      </c>
      <c r="CD30" s="3">
        <f>'Shipment (Production)'!CB30</f>
        <v>0</v>
      </c>
      <c r="CE30" s="80">
        <f t="shared" si="110"/>
        <v>0</v>
      </c>
      <c r="CF30" s="3">
        <f>'Shipment (Production)'!CC30</f>
        <v>0</v>
      </c>
      <c r="CG30" s="3">
        <f>'Shipment (Production)'!CD30</f>
        <v>0</v>
      </c>
      <c r="CH30" s="3">
        <f>'Shipment (Production)'!CF30</f>
        <v>0</v>
      </c>
      <c r="CI30" s="3">
        <f>'Shipment (Production)'!CG30</f>
        <v>0</v>
      </c>
      <c r="CJ30" s="80">
        <f t="shared" si="111"/>
        <v>0</v>
      </c>
      <c r="CK30" s="3">
        <f>'Shipment (Production)'!CH30</f>
        <v>0</v>
      </c>
      <c r="CL30" s="3">
        <f>'Shipment (Production)'!CI30</f>
        <v>0</v>
      </c>
      <c r="CM30" s="3">
        <f>'Shipment (Production)'!CK30</f>
        <v>0</v>
      </c>
      <c r="CN30" s="3">
        <f>'Shipment (Production)'!CL30</f>
        <v>0</v>
      </c>
      <c r="CO30" s="80">
        <f t="shared" si="112"/>
        <v>0</v>
      </c>
      <c r="CP30" s="3">
        <f>'Shipment (Production)'!CM30</f>
        <v>0</v>
      </c>
      <c r="CQ30" s="3">
        <f>'Shipment (Production)'!CN30</f>
        <v>0</v>
      </c>
      <c r="CR30" s="3">
        <f>'Shipment (Production)'!CP30</f>
        <v>0</v>
      </c>
      <c r="CS30" s="3">
        <f>'Shipment (Production)'!CQ30</f>
        <v>0</v>
      </c>
      <c r="CT30" s="80">
        <f t="shared" si="113"/>
        <v>0</v>
      </c>
      <c r="CU30" s="3">
        <f>'Shipment (Production)'!CR30</f>
        <v>0</v>
      </c>
      <c r="CV30" s="3">
        <f>'Shipment (Production)'!CS30</f>
        <v>0</v>
      </c>
      <c r="CW30" s="3">
        <f>'Shipment (Production)'!CU30</f>
        <v>0</v>
      </c>
      <c r="CX30" s="3">
        <f>'Shipment (Production)'!CV30</f>
        <v>0</v>
      </c>
      <c r="CY30" s="80">
        <f t="shared" si="114"/>
        <v>0</v>
      </c>
      <c r="CZ30" s="3">
        <f>'Shipment (Production)'!CW30</f>
        <v>0</v>
      </c>
      <c r="DA30" s="3">
        <f>'Shipment (Production)'!CX30</f>
        <v>0</v>
      </c>
      <c r="DB30" s="3">
        <f>'Shipment (Production)'!CZ30</f>
        <v>0</v>
      </c>
      <c r="DC30" s="3">
        <f>'Shipment (Production)'!DA30</f>
        <v>0</v>
      </c>
      <c r="DD30" s="80">
        <f t="shared" si="115"/>
        <v>0</v>
      </c>
      <c r="DE30" s="3">
        <f>'Shipment (Production)'!DB30</f>
        <v>0</v>
      </c>
      <c r="DF30" s="3">
        <f>'Shipment (Production)'!DC30</f>
        <v>0</v>
      </c>
      <c r="DG30" s="3">
        <f>'Shipment (Production)'!DE30</f>
        <v>0</v>
      </c>
      <c r="DH30" s="3">
        <f>'Shipment (Production)'!DF30</f>
        <v>0</v>
      </c>
      <c r="DI30" s="80">
        <f t="shared" si="116"/>
        <v>0</v>
      </c>
      <c r="DJ30" s="3">
        <f>'Shipment (Production)'!DG30</f>
        <v>0</v>
      </c>
      <c r="DK30" s="3">
        <f>'Shipment (Production)'!DH30</f>
        <v>0</v>
      </c>
      <c r="DL30" s="3">
        <f>'Shipment (Production)'!DJ30</f>
        <v>0</v>
      </c>
      <c r="DM30" s="3">
        <f>'Shipment (Production)'!DK30</f>
        <v>0</v>
      </c>
      <c r="DN30" s="80">
        <f t="shared" si="117"/>
        <v>0</v>
      </c>
      <c r="DO30" s="3">
        <f>'Shipment (Production)'!DL30</f>
        <v>0</v>
      </c>
      <c r="DP30" s="3">
        <f>'Shipment (Production)'!DM30</f>
        <v>0</v>
      </c>
      <c r="DQ30" s="3">
        <f>'Shipment (Production)'!DO30</f>
        <v>0</v>
      </c>
      <c r="DR30" s="3">
        <f>'Shipment (Production)'!DP30</f>
        <v>0</v>
      </c>
      <c r="DS30" s="80">
        <f t="shared" si="118"/>
        <v>0</v>
      </c>
      <c r="DT30" s="12">
        <f t="shared" si="119"/>
        <v>0</v>
      </c>
      <c r="DU30" s="3">
        <f>'Shipment (Production)'!DQ30</f>
        <v>0</v>
      </c>
      <c r="DV30" s="3">
        <f>'Shipment (Production)'!DR30</f>
        <v>0</v>
      </c>
      <c r="DW30" s="3">
        <f>'Shipment (Production)'!DU30</f>
        <v>0</v>
      </c>
      <c r="DX30" s="3">
        <f>'Shipment (Production)'!DV30</f>
        <v>0</v>
      </c>
      <c r="DY30" s="80">
        <f t="shared" si="120"/>
        <v>0</v>
      </c>
      <c r="DZ30" s="3">
        <f>'Shipment (Production)'!DV30</f>
        <v>0</v>
      </c>
      <c r="EA30" s="3">
        <f>'Shipment (Production)'!DW30</f>
        <v>0</v>
      </c>
      <c r="EB30" s="3">
        <f>'Shipment (Production)'!DZ30</f>
        <v>0</v>
      </c>
      <c r="EC30" s="3">
        <f>'Shipment (Production)'!EA30</f>
        <v>0</v>
      </c>
      <c r="ED30" s="80">
        <f t="shared" si="121"/>
        <v>0</v>
      </c>
      <c r="EE30" s="3">
        <f>'Shipment (Production)'!EA30</f>
        <v>0</v>
      </c>
      <c r="EF30" s="3">
        <f>'Shipment (Production)'!EB30</f>
        <v>0</v>
      </c>
      <c r="EG30" s="3">
        <f>'Shipment (Production)'!EE30</f>
        <v>0</v>
      </c>
      <c r="EH30" s="3">
        <f>'Shipment (Production)'!EF30</f>
        <v>0</v>
      </c>
      <c r="EI30" s="80">
        <f t="shared" si="122"/>
        <v>0</v>
      </c>
      <c r="EJ30" s="3">
        <f>'Shipment (Production)'!EF30</f>
        <v>0</v>
      </c>
      <c r="EK30" s="3">
        <f>'Shipment (Production)'!EG30</f>
        <v>0</v>
      </c>
      <c r="EL30" s="3">
        <f>'Shipment (Production)'!EJ30</f>
        <v>0</v>
      </c>
      <c r="EM30" s="3">
        <f>'Shipment (Production)'!EK30</f>
        <v>0</v>
      </c>
      <c r="EN30" s="80">
        <f t="shared" si="123"/>
        <v>0</v>
      </c>
      <c r="EO30" s="3">
        <f>'Shipment (Production)'!EK30</f>
        <v>0</v>
      </c>
      <c r="EP30" s="3">
        <f>'Shipment (Production)'!EL30</f>
        <v>0</v>
      </c>
      <c r="EQ30" s="3">
        <f>'Shipment (Production)'!EO30</f>
        <v>0</v>
      </c>
      <c r="ER30" s="3">
        <f>'Shipment (Production)'!EP30</f>
        <v>0</v>
      </c>
      <c r="ES30" s="80">
        <f t="shared" si="124"/>
        <v>0</v>
      </c>
      <c r="ET30" s="3">
        <f>'Shipment (Production)'!EP30</f>
        <v>0</v>
      </c>
      <c r="EU30" s="3">
        <f>'Shipment (Production)'!EQ30</f>
        <v>0</v>
      </c>
      <c r="EV30" s="3">
        <f>'Shipment (Production)'!ET30</f>
        <v>0</v>
      </c>
      <c r="EW30" s="3">
        <f>'Shipment (Production)'!EU30</f>
        <v>0</v>
      </c>
      <c r="EX30" s="80">
        <f t="shared" si="125"/>
        <v>0</v>
      </c>
      <c r="EY30" s="3">
        <f>'Shipment (Production)'!EU30</f>
        <v>0</v>
      </c>
      <c r="EZ30" s="3">
        <f>'Shipment (Production)'!EV30</f>
        <v>0</v>
      </c>
      <c r="FA30" s="3">
        <f>'Shipment (Production)'!EY30</f>
        <v>0</v>
      </c>
      <c r="FB30" s="3">
        <f>'Shipment (Production)'!EZ30</f>
        <v>0</v>
      </c>
      <c r="FC30" s="80">
        <f t="shared" si="126"/>
        <v>0</v>
      </c>
      <c r="FD30" s="3">
        <f>'Shipment (Production)'!EZ30</f>
        <v>0</v>
      </c>
      <c r="FE30" s="3">
        <f>'Shipment (Production)'!FA30</f>
        <v>0</v>
      </c>
      <c r="FF30" s="3">
        <f>'Shipment (Production)'!FD30</f>
        <v>0</v>
      </c>
      <c r="FG30" s="3">
        <f>'Shipment (Production)'!FE30</f>
        <v>0</v>
      </c>
      <c r="FH30" s="80">
        <f t="shared" si="127"/>
        <v>0</v>
      </c>
      <c r="FI30" s="3">
        <f>'Shipment (Production)'!FE30</f>
        <v>0</v>
      </c>
      <c r="FJ30" s="3">
        <f>'Shipment (Production)'!FF30</f>
        <v>0</v>
      </c>
      <c r="FK30" s="3">
        <f>'Shipment (Production)'!FI30</f>
        <v>0</v>
      </c>
      <c r="FL30" s="3">
        <f>'Shipment (Production)'!FJ30</f>
        <v>0</v>
      </c>
      <c r="FM30" s="80">
        <f t="shared" si="128"/>
        <v>0</v>
      </c>
      <c r="FN30" s="3">
        <f>'Shipment (Production)'!FJ30</f>
        <v>0</v>
      </c>
      <c r="FO30" s="3">
        <f>'Shipment (Production)'!FK30</f>
        <v>0</v>
      </c>
      <c r="FP30" s="3">
        <f>'Shipment (Production)'!FN30</f>
        <v>0</v>
      </c>
      <c r="FQ30" s="3">
        <f>'Shipment (Production)'!FO30</f>
        <v>0</v>
      </c>
      <c r="FR30" s="80">
        <f t="shared" si="129"/>
        <v>0</v>
      </c>
      <c r="FS30" s="3">
        <f>'Shipment (Production)'!FO30</f>
        <v>0</v>
      </c>
      <c r="FT30" s="3">
        <f>'Shipment (Production)'!FP30</f>
        <v>0</v>
      </c>
      <c r="FU30" s="3">
        <f>'Shipment (Production)'!FS30</f>
        <v>0</v>
      </c>
      <c r="FV30" s="3">
        <f>'Shipment (Production)'!FT30</f>
        <v>0</v>
      </c>
      <c r="FW30" s="80">
        <f t="shared" si="130"/>
        <v>0</v>
      </c>
      <c r="FX30" s="3">
        <f>'Shipment (Production)'!FT30</f>
        <v>0</v>
      </c>
      <c r="FY30" s="3">
        <f>'Shipment (Production)'!FU30</f>
        <v>0</v>
      </c>
      <c r="FZ30" s="3">
        <f>'Shipment (Production)'!FX30</f>
        <v>0</v>
      </c>
      <c r="GA30" s="3">
        <f>'Shipment (Production)'!FY30</f>
        <v>0</v>
      </c>
      <c r="GB30" s="80">
        <f t="shared" si="131"/>
        <v>0</v>
      </c>
      <c r="GC30" s="12">
        <f t="shared" si="132"/>
        <v>0</v>
      </c>
    </row>
    <row r="31" spans="1:185" x14ac:dyDescent="0.35">
      <c r="A31" s="1" t="s">
        <v>10</v>
      </c>
      <c r="B31" s="1" t="s">
        <v>37</v>
      </c>
      <c r="G31" s="111"/>
      <c r="H31" s="3"/>
      <c r="I31" s="3"/>
      <c r="J31" s="3"/>
      <c r="K31" s="3"/>
      <c r="L31" s="111"/>
      <c r="M31" s="3"/>
      <c r="N31" s="3"/>
      <c r="O31" s="3"/>
      <c r="P31" s="3"/>
      <c r="Q31" s="111"/>
      <c r="R31" s="3"/>
      <c r="S31" s="3"/>
      <c r="T31" s="3"/>
      <c r="U31" s="3"/>
      <c r="V31" s="111"/>
      <c r="W31" s="3"/>
      <c r="X31" s="3"/>
      <c r="Y31" s="3"/>
      <c r="Z31" s="3"/>
      <c r="AA31" s="111"/>
      <c r="AB31" s="3"/>
      <c r="AC31" s="3"/>
      <c r="AD31" s="3"/>
      <c r="AE31" s="3"/>
      <c r="AF31" s="111"/>
      <c r="AG31" s="3"/>
      <c r="AH31" s="3"/>
      <c r="AI31" s="3"/>
      <c r="AJ31" s="3"/>
      <c r="AK31" s="111"/>
      <c r="AL31" s="3"/>
      <c r="AM31" s="3"/>
      <c r="AN31" s="3"/>
      <c r="AO31" s="3"/>
      <c r="AP31" s="111"/>
      <c r="AQ31" s="3"/>
      <c r="AR31" s="3"/>
      <c r="AS31" s="3"/>
      <c r="AT31" s="112"/>
      <c r="AU31" s="80">
        <f t="shared" si="96"/>
        <v>0</v>
      </c>
      <c r="AV31" s="3"/>
      <c r="AW31" s="3"/>
      <c r="AX31" s="3"/>
      <c r="AY31" s="3"/>
      <c r="AZ31" s="80">
        <f t="shared" si="80"/>
        <v>0</v>
      </c>
      <c r="BA31" s="3"/>
      <c r="BB31" s="3"/>
      <c r="BC31" s="3"/>
      <c r="BD31" s="3">
        <f>'Shipment (Production)'!BB31</f>
        <v>0</v>
      </c>
      <c r="BE31" s="80">
        <f t="shared" si="97"/>
        <v>0</v>
      </c>
      <c r="BF31" s="3"/>
      <c r="BG31" s="3"/>
      <c r="BH31" s="3"/>
      <c r="BI31" s="114">
        <f>'Shipment (Production)'!BG31</f>
        <v>0</v>
      </c>
      <c r="BJ31" s="80">
        <f t="shared" si="98"/>
        <v>0</v>
      </c>
      <c r="BK31" s="12">
        <f t="shared" si="35"/>
        <v>0</v>
      </c>
      <c r="BL31" s="84">
        <f>'Shipment (Production)'!BI31</f>
        <v>0</v>
      </c>
      <c r="BM31" s="3"/>
      <c r="BN31" s="3">
        <f>'Shipment (Production)'!BL31</f>
        <v>0</v>
      </c>
      <c r="BO31" s="3">
        <f>'Shipment (Production)'!BM31</f>
        <v>0</v>
      </c>
      <c r="BP31" s="80">
        <f t="shared" si="83"/>
        <v>0</v>
      </c>
      <c r="BQ31" s="3">
        <f>'Shipment (Production)'!BN31</f>
        <v>0</v>
      </c>
      <c r="BR31" s="3">
        <f>'Shipment (Production)'!BO31</f>
        <v>0</v>
      </c>
      <c r="BS31" s="3">
        <f>'Shipment (Production)'!BQ31</f>
        <v>0</v>
      </c>
      <c r="BT31" s="3">
        <f>'Shipment (Production)'!BR31</f>
        <v>0</v>
      </c>
      <c r="BU31" s="80">
        <f t="shared" si="99"/>
        <v>0</v>
      </c>
      <c r="BV31" s="3">
        <f>'Shipment (Production)'!BS31</f>
        <v>0</v>
      </c>
      <c r="BW31" s="3">
        <f>'Shipment (Production)'!BT31</f>
        <v>0</v>
      </c>
      <c r="BX31" s="3">
        <f>'Shipment (Production)'!BV31</f>
        <v>0</v>
      </c>
      <c r="BY31" s="3">
        <f>'Shipment (Production)'!BW31</f>
        <v>0</v>
      </c>
      <c r="BZ31" s="80">
        <f t="shared" si="109"/>
        <v>0</v>
      </c>
      <c r="CA31" s="3">
        <f>'Shipment (Production)'!BX31</f>
        <v>0</v>
      </c>
      <c r="CB31" s="3">
        <f>'Shipment (Production)'!BY31</f>
        <v>0</v>
      </c>
      <c r="CC31" s="3">
        <f>'Shipment (Production)'!CA31</f>
        <v>0</v>
      </c>
      <c r="CD31" s="3">
        <f>'Shipment (Production)'!CB31</f>
        <v>0</v>
      </c>
      <c r="CE31" s="80">
        <f t="shared" si="110"/>
        <v>0</v>
      </c>
      <c r="CF31" s="3">
        <f>'Shipment (Production)'!CC31</f>
        <v>0</v>
      </c>
      <c r="CG31" s="3">
        <f>'Shipment (Production)'!CD31</f>
        <v>0</v>
      </c>
      <c r="CH31" s="3">
        <f>'Shipment (Production)'!CF31</f>
        <v>0</v>
      </c>
      <c r="CI31" s="3">
        <f>'Shipment (Production)'!CG31</f>
        <v>0</v>
      </c>
      <c r="CJ31" s="80">
        <f t="shared" si="111"/>
        <v>0</v>
      </c>
      <c r="CK31" s="3">
        <f>'Shipment (Production)'!CH31</f>
        <v>0</v>
      </c>
      <c r="CL31" s="3">
        <f>'Shipment (Production)'!CI31</f>
        <v>0</v>
      </c>
      <c r="CM31" s="3">
        <f>'Shipment (Production)'!CK31</f>
        <v>0</v>
      </c>
      <c r="CN31" s="3">
        <f>'Shipment (Production)'!CL31</f>
        <v>0</v>
      </c>
      <c r="CO31" s="80">
        <f t="shared" si="112"/>
        <v>0</v>
      </c>
      <c r="CP31" s="3">
        <f>'Shipment (Production)'!CM31</f>
        <v>0</v>
      </c>
      <c r="CQ31" s="3">
        <f>'Shipment (Production)'!CN31</f>
        <v>0</v>
      </c>
      <c r="CR31" s="3">
        <f>'Shipment (Production)'!CP31</f>
        <v>0</v>
      </c>
      <c r="CS31" s="3">
        <f>'Shipment (Production)'!CQ31</f>
        <v>0</v>
      </c>
      <c r="CT31" s="80">
        <f t="shared" si="113"/>
        <v>0</v>
      </c>
      <c r="CU31" s="3">
        <f>'Shipment (Production)'!CR31</f>
        <v>0</v>
      </c>
      <c r="CV31" s="3">
        <f>'Shipment (Production)'!CS31</f>
        <v>0</v>
      </c>
      <c r="CW31" s="3">
        <f>'Shipment (Production)'!CU31</f>
        <v>0</v>
      </c>
      <c r="CX31" s="3">
        <f>'Shipment (Production)'!CV31</f>
        <v>0</v>
      </c>
      <c r="CY31" s="80">
        <f t="shared" si="114"/>
        <v>0</v>
      </c>
      <c r="CZ31" s="3">
        <f>'Shipment (Production)'!CW31</f>
        <v>0</v>
      </c>
      <c r="DA31" s="3">
        <f>'Shipment (Production)'!CX31</f>
        <v>0</v>
      </c>
      <c r="DB31" s="3">
        <f>'Shipment (Production)'!CZ31</f>
        <v>0</v>
      </c>
      <c r="DC31" s="3">
        <f>'Shipment (Production)'!DA31</f>
        <v>0</v>
      </c>
      <c r="DD31" s="80">
        <f t="shared" si="115"/>
        <v>0</v>
      </c>
      <c r="DE31" s="3">
        <f>'Shipment (Production)'!DB31</f>
        <v>0</v>
      </c>
      <c r="DF31" s="3">
        <f>'Shipment (Production)'!DC31</f>
        <v>0</v>
      </c>
      <c r="DG31" s="3">
        <f>'Shipment (Production)'!DE31</f>
        <v>0</v>
      </c>
      <c r="DH31" s="3">
        <f>'Shipment (Production)'!DF31</f>
        <v>0</v>
      </c>
      <c r="DI31" s="80">
        <f t="shared" si="116"/>
        <v>0</v>
      </c>
      <c r="DJ31" s="3">
        <f>'Shipment (Production)'!DG31</f>
        <v>0</v>
      </c>
      <c r="DK31" s="3">
        <f>'Shipment (Production)'!DH31</f>
        <v>0</v>
      </c>
      <c r="DL31" s="3">
        <f>'Shipment (Production)'!DJ31</f>
        <v>0</v>
      </c>
      <c r="DM31" s="3">
        <f>'Shipment (Production)'!DK31</f>
        <v>0</v>
      </c>
      <c r="DN31" s="80">
        <f t="shared" si="117"/>
        <v>0</v>
      </c>
      <c r="DO31" s="3">
        <f>'Shipment (Production)'!DL31</f>
        <v>0</v>
      </c>
      <c r="DP31" s="3">
        <f>'Shipment (Production)'!DM31</f>
        <v>0</v>
      </c>
      <c r="DQ31" s="3">
        <f>'Shipment (Production)'!DO31</f>
        <v>0</v>
      </c>
      <c r="DR31" s="3">
        <f>'Shipment (Production)'!DP31</f>
        <v>0</v>
      </c>
      <c r="DS31" s="80">
        <f t="shared" si="118"/>
        <v>0</v>
      </c>
      <c r="DT31" s="12">
        <f t="shared" si="119"/>
        <v>0</v>
      </c>
      <c r="DU31" s="3">
        <f>'Shipment (Production)'!DQ31</f>
        <v>0</v>
      </c>
      <c r="DV31" s="3">
        <f>'Shipment (Production)'!DR31</f>
        <v>0</v>
      </c>
      <c r="DW31" s="3">
        <f>'Shipment (Production)'!DU31</f>
        <v>0</v>
      </c>
      <c r="DX31" s="3">
        <f>'Shipment (Production)'!DV31</f>
        <v>0</v>
      </c>
      <c r="DY31" s="80">
        <f t="shared" si="120"/>
        <v>0</v>
      </c>
      <c r="DZ31" s="3">
        <f>'Shipment (Production)'!DV31</f>
        <v>0</v>
      </c>
      <c r="EA31" s="3">
        <f>'Shipment (Production)'!DW31</f>
        <v>0</v>
      </c>
      <c r="EB31" s="3">
        <f>'Shipment (Production)'!DZ31</f>
        <v>0</v>
      </c>
      <c r="EC31" s="3">
        <f>'Shipment (Production)'!EA31</f>
        <v>0</v>
      </c>
      <c r="ED31" s="80">
        <f t="shared" si="121"/>
        <v>0</v>
      </c>
      <c r="EE31" s="3">
        <f>'Shipment (Production)'!EA31</f>
        <v>0</v>
      </c>
      <c r="EF31" s="3">
        <f>'Shipment (Production)'!EB31</f>
        <v>0</v>
      </c>
      <c r="EG31" s="3">
        <f>'Shipment (Production)'!EE31</f>
        <v>0</v>
      </c>
      <c r="EH31" s="3">
        <f>'Shipment (Production)'!EF31</f>
        <v>0</v>
      </c>
      <c r="EI31" s="80">
        <f t="shared" si="122"/>
        <v>0</v>
      </c>
      <c r="EJ31" s="3">
        <f>'Shipment (Production)'!EF31</f>
        <v>0</v>
      </c>
      <c r="EK31" s="3">
        <f>'Shipment (Production)'!EG31</f>
        <v>0</v>
      </c>
      <c r="EL31" s="3">
        <f>'Shipment (Production)'!EJ31</f>
        <v>0</v>
      </c>
      <c r="EM31" s="3">
        <f>'Shipment (Production)'!EK31</f>
        <v>0</v>
      </c>
      <c r="EN31" s="80">
        <f t="shared" si="123"/>
        <v>0</v>
      </c>
      <c r="EO31" s="3">
        <f>'Shipment (Production)'!EK31</f>
        <v>0</v>
      </c>
      <c r="EP31" s="3">
        <f>'Shipment (Production)'!EL31</f>
        <v>0</v>
      </c>
      <c r="EQ31" s="3">
        <f>'Shipment (Production)'!EO31</f>
        <v>0</v>
      </c>
      <c r="ER31" s="3">
        <f>'Shipment (Production)'!EP31</f>
        <v>0</v>
      </c>
      <c r="ES31" s="80">
        <f t="shared" si="124"/>
        <v>0</v>
      </c>
      <c r="ET31" s="3">
        <f>'Shipment (Production)'!EP31</f>
        <v>0</v>
      </c>
      <c r="EU31" s="3">
        <f>'Shipment (Production)'!EQ31</f>
        <v>0</v>
      </c>
      <c r="EV31" s="3">
        <f>'Shipment (Production)'!ET31</f>
        <v>0</v>
      </c>
      <c r="EW31" s="3">
        <f>'Shipment (Production)'!EU31</f>
        <v>0</v>
      </c>
      <c r="EX31" s="80">
        <f t="shared" si="125"/>
        <v>0</v>
      </c>
      <c r="EY31" s="3">
        <f>'Shipment (Production)'!EU31</f>
        <v>0</v>
      </c>
      <c r="EZ31" s="3">
        <f>'Shipment (Production)'!EV31</f>
        <v>0</v>
      </c>
      <c r="FA31" s="3">
        <f>'Shipment (Production)'!EY31</f>
        <v>0</v>
      </c>
      <c r="FB31" s="3">
        <f>'Shipment (Production)'!EZ31</f>
        <v>0</v>
      </c>
      <c r="FC31" s="80">
        <f t="shared" si="126"/>
        <v>0</v>
      </c>
      <c r="FD31" s="3">
        <f>'Shipment (Production)'!EZ31</f>
        <v>0</v>
      </c>
      <c r="FE31" s="3">
        <f>'Shipment (Production)'!FA31</f>
        <v>0</v>
      </c>
      <c r="FF31" s="3">
        <f>'Shipment (Production)'!FD31</f>
        <v>0</v>
      </c>
      <c r="FG31" s="3">
        <f>'Shipment (Production)'!FE31</f>
        <v>0</v>
      </c>
      <c r="FH31" s="80">
        <f t="shared" si="127"/>
        <v>0</v>
      </c>
      <c r="FI31" s="3">
        <f>'Shipment (Production)'!FE31</f>
        <v>0</v>
      </c>
      <c r="FJ31" s="3">
        <f>'Shipment (Production)'!FF31</f>
        <v>0</v>
      </c>
      <c r="FK31" s="3">
        <f>'Shipment (Production)'!FI31</f>
        <v>0</v>
      </c>
      <c r="FL31" s="3">
        <f>'Shipment (Production)'!FJ31</f>
        <v>0</v>
      </c>
      <c r="FM31" s="80">
        <f t="shared" si="128"/>
        <v>0</v>
      </c>
      <c r="FN31" s="3">
        <f>'Shipment (Production)'!FJ31</f>
        <v>0</v>
      </c>
      <c r="FO31" s="3">
        <f>'Shipment (Production)'!FK31</f>
        <v>0</v>
      </c>
      <c r="FP31" s="3">
        <f>'Shipment (Production)'!FN31</f>
        <v>0</v>
      </c>
      <c r="FQ31" s="3">
        <f>'Shipment (Production)'!FO31</f>
        <v>0</v>
      </c>
      <c r="FR31" s="80">
        <f t="shared" si="129"/>
        <v>0</v>
      </c>
      <c r="FS31" s="3">
        <f>'Shipment (Production)'!FO31</f>
        <v>0</v>
      </c>
      <c r="FT31" s="3">
        <f>'Shipment (Production)'!FP31</f>
        <v>0</v>
      </c>
      <c r="FU31" s="3">
        <f>'Shipment (Production)'!FS31</f>
        <v>0</v>
      </c>
      <c r="FV31" s="3">
        <f>'Shipment (Production)'!FT31</f>
        <v>0</v>
      </c>
      <c r="FW31" s="80">
        <f t="shared" si="130"/>
        <v>0</v>
      </c>
      <c r="FX31" s="3">
        <f>'Shipment (Production)'!FT31</f>
        <v>0</v>
      </c>
      <c r="FY31" s="3">
        <f>'Shipment (Production)'!FU31</f>
        <v>0</v>
      </c>
      <c r="FZ31" s="3">
        <f>'Shipment (Production)'!FX31</f>
        <v>0</v>
      </c>
      <c r="GA31" s="3">
        <f>'Shipment (Production)'!FY31</f>
        <v>0</v>
      </c>
      <c r="GB31" s="80">
        <f t="shared" si="131"/>
        <v>0</v>
      </c>
      <c r="GC31" s="12">
        <f t="shared" si="132"/>
        <v>0</v>
      </c>
    </row>
    <row r="32" spans="1:185" x14ac:dyDescent="0.35">
      <c r="A32" s="1" t="s">
        <v>4</v>
      </c>
      <c r="B32" s="1" t="s">
        <v>38</v>
      </c>
      <c r="G32" s="111"/>
      <c r="H32" s="3"/>
      <c r="I32" s="3"/>
      <c r="J32" s="3"/>
      <c r="K32" s="3"/>
      <c r="L32" s="111"/>
      <c r="M32" s="3"/>
      <c r="N32" s="3"/>
      <c r="O32" s="3"/>
      <c r="P32" s="3"/>
      <c r="Q32" s="111"/>
      <c r="R32" s="3"/>
      <c r="S32" s="3"/>
      <c r="T32" s="3"/>
      <c r="U32" s="3"/>
      <c r="V32" s="111"/>
      <c r="W32" s="3"/>
      <c r="X32" s="3"/>
      <c r="Y32" s="3"/>
      <c r="Z32" s="3"/>
      <c r="AA32" s="111"/>
      <c r="AB32" s="3"/>
      <c r="AC32" s="3"/>
      <c r="AD32" s="3"/>
      <c r="AE32" s="3"/>
      <c r="AF32" s="111"/>
      <c r="AG32" s="3"/>
      <c r="AH32" s="3"/>
      <c r="AI32" s="3"/>
      <c r="AJ32" s="3"/>
      <c r="AK32" s="111"/>
      <c r="AL32" s="3"/>
      <c r="AM32" s="3"/>
      <c r="AN32" s="3"/>
      <c r="AO32" s="3"/>
      <c r="AP32" s="111"/>
      <c r="AQ32" s="3"/>
      <c r="AR32" s="3"/>
      <c r="AS32" s="3"/>
      <c r="AT32" s="112"/>
      <c r="AU32" s="80">
        <f t="shared" si="96"/>
        <v>0</v>
      </c>
      <c r="AV32" s="3"/>
      <c r="AW32" s="3"/>
      <c r="AX32" s="3"/>
      <c r="AY32" s="3"/>
      <c r="AZ32" s="80">
        <f t="shared" si="80"/>
        <v>0</v>
      </c>
      <c r="BA32" s="3"/>
      <c r="BB32" s="3"/>
      <c r="BC32" s="3"/>
      <c r="BD32" s="3">
        <f>'Shipment (Production)'!BB32</f>
        <v>0</v>
      </c>
      <c r="BE32" s="80">
        <f t="shared" si="97"/>
        <v>0</v>
      </c>
      <c r="BF32" s="3"/>
      <c r="BG32" s="3"/>
      <c r="BH32" s="3"/>
      <c r="BI32" s="114"/>
      <c r="BJ32" s="80">
        <f t="shared" si="98"/>
        <v>0</v>
      </c>
      <c r="BK32" s="12">
        <f t="shared" si="35"/>
        <v>0</v>
      </c>
      <c r="BL32" s="84">
        <f>'Shipment (Production)'!BI32</f>
        <v>0</v>
      </c>
      <c r="BM32" s="3"/>
      <c r="BN32" s="3">
        <f>'Shipment (Production)'!BL32</f>
        <v>0</v>
      </c>
      <c r="BO32" s="3">
        <f>'Shipment (Production)'!BM32</f>
        <v>0</v>
      </c>
      <c r="BP32" s="80">
        <f t="shared" si="83"/>
        <v>0</v>
      </c>
      <c r="BQ32" s="3">
        <f>'Shipment (Production)'!BN32</f>
        <v>0</v>
      </c>
      <c r="BR32" s="3">
        <f>'Shipment (Production)'!BO32</f>
        <v>0</v>
      </c>
      <c r="BS32" s="3">
        <f>'Shipment (Production)'!BQ32</f>
        <v>0</v>
      </c>
      <c r="BT32" s="3">
        <f>'Shipment (Production)'!BR32</f>
        <v>0</v>
      </c>
      <c r="BU32" s="80">
        <f t="shared" si="99"/>
        <v>0</v>
      </c>
      <c r="BV32" s="3">
        <f>'Shipment (Production)'!BS32</f>
        <v>0</v>
      </c>
      <c r="BW32" s="3">
        <f>'Shipment (Production)'!BT32</f>
        <v>0</v>
      </c>
      <c r="BX32" s="3">
        <f>'Shipment (Production)'!BV32</f>
        <v>0</v>
      </c>
      <c r="BY32" s="3">
        <f>'Shipment (Production)'!BW32</f>
        <v>0</v>
      </c>
      <c r="BZ32" s="80">
        <f t="shared" si="109"/>
        <v>0</v>
      </c>
      <c r="CA32" s="3">
        <f>'Shipment (Production)'!BX32</f>
        <v>0</v>
      </c>
      <c r="CB32" s="3">
        <f>'Shipment (Production)'!BY32</f>
        <v>0</v>
      </c>
      <c r="CC32" s="3">
        <f>'Shipment (Production)'!CA32</f>
        <v>0</v>
      </c>
      <c r="CD32" s="3">
        <f>'Shipment (Production)'!CB32</f>
        <v>0</v>
      </c>
      <c r="CE32" s="80">
        <f t="shared" si="110"/>
        <v>0</v>
      </c>
      <c r="CF32" s="3">
        <f>'Shipment (Production)'!CC32</f>
        <v>0</v>
      </c>
      <c r="CG32" s="3">
        <f>'Shipment (Production)'!CD32</f>
        <v>0</v>
      </c>
      <c r="CH32" s="3">
        <f>'Shipment (Production)'!CF32</f>
        <v>0</v>
      </c>
      <c r="CI32" s="3">
        <f>'Shipment (Production)'!CG32</f>
        <v>0</v>
      </c>
      <c r="CJ32" s="80">
        <f t="shared" si="111"/>
        <v>0</v>
      </c>
      <c r="CK32" s="3">
        <f>'Shipment (Production)'!CH32</f>
        <v>0</v>
      </c>
      <c r="CL32" s="3">
        <f>'Shipment (Production)'!CI32</f>
        <v>0</v>
      </c>
      <c r="CM32" s="3">
        <f>'Shipment (Production)'!CK32</f>
        <v>0</v>
      </c>
      <c r="CN32" s="3">
        <f>'Shipment (Production)'!CL32</f>
        <v>0</v>
      </c>
      <c r="CO32" s="80">
        <f t="shared" si="112"/>
        <v>0</v>
      </c>
      <c r="CP32" s="3">
        <f>'Shipment (Production)'!CM32</f>
        <v>0</v>
      </c>
      <c r="CQ32" s="3">
        <f>'Shipment (Production)'!CN32</f>
        <v>0</v>
      </c>
      <c r="CR32" s="3">
        <f>'Shipment (Production)'!CP32</f>
        <v>0</v>
      </c>
      <c r="CS32" s="3">
        <f>'Shipment (Production)'!CQ32</f>
        <v>0</v>
      </c>
      <c r="CT32" s="80">
        <f t="shared" si="113"/>
        <v>0</v>
      </c>
      <c r="CU32" s="3">
        <f>'Shipment (Production)'!CR32</f>
        <v>0</v>
      </c>
      <c r="CV32" s="3">
        <f>'Shipment (Production)'!CS32</f>
        <v>0</v>
      </c>
      <c r="CW32" s="3">
        <f>'Shipment (Production)'!CU32</f>
        <v>0</v>
      </c>
      <c r="CX32" s="3">
        <f>'Shipment (Production)'!CV32</f>
        <v>0</v>
      </c>
      <c r="CY32" s="80">
        <f t="shared" si="114"/>
        <v>0</v>
      </c>
      <c r="CZ32" s="3">
        <f>'Shipment (Production)'!CW32</f>
        <v>0</v>
      </c>
      <c r="DA32" s="3">
        <f>'Shipment (Production)'!CX32</f>
        <v>0</v>
      </c>
      <c r="DB32" s="3">
        <f>'Shipment (Production)'!CZ32</f>
        <v>0</v>
      </c>
      <c r="DC32" s="3">
        <f>'Shipment (Production)'!DA32</f>
        <v>0</v>
      </c>
      <c r="DD32" s="80">
        <f t="shared" si="115"/>
        <v>0</v>
      </c>
      <c r="DE32" s="3">
        <f>'Shipment (Production)'!DB32</f>
        <v>0</v>
      </c>
      <c r="DF32" s="3">
        <f>'Shipment (Production)'!DC32</f>
        <v>0</v>
      </c>
      <c r="DG32" s="3">
        <f>'Shipment (Production)'!DE32</f>
        <v>0</v>
      </c>
      <c r="DH32" s="3">
        <f>'Shipment (Production)'!DF32</f>
        <v>0</v>
      </c>
      <c r="DI32" s="80">
        <f t="shared" si="116"/>
        <v>0</v>
      </c>
      <c r="DJ32" s="3">
        <f>'Shipment (Production)'!DG32</f>
        <v>0</v>
      </c>
      <c r="DK32" s="3">
        <f>'Shipment (Production)'!DH32</f>
        <v>0</v>
      </c>
      <c r="DL32" s="3">
        <f>'Shipment (Production)'!DJ32</f>
        <v>0</v>
      </c>
      <c r="DM32" s="3">
        <f>'Shipment (Production)'!DK32</f>
        <v>0</v>
      </c>
      <c r="DN32" s="80">
        <f t="shared" si="117"/>
        <v>0</v>
      </c>
      <c r="DO32" s="3">
        <f>'Shipment (Production)'!DL32</f>
        <v>0</v>
      </c>
      <c r="DP32" s="3">
        <f>'Shipment (Production)'!DM32</f>
        <v>0</v>
      </c>
      <c r="DQ32" s="3">
        <f>'Shipment (Production)'!DO32</f>
        <v>0</v>
      </c>
      <c r="DR32" s="3">
        <f>'Shipment (Production)'!DP32</f>
        <v>0</v>
      </c>
      <c r="DS32" s="80">
        <f t="shared" si="118"/>
        <v>0</v>
      </c>
      <c r="DT32" s="12">
        <f t="shared" si="119"/>
        <v>0</v>
      </c>
      <c r="DU32" s="3">
        <f>'Shipment (Production)'!DQ32</f>
        <v>0</v>
      </c>
      <c r="DV32" s="3">
        <f>'Shipment (Production)'!DR32</f>
        <v>0</v>
      </c>
      <c r="DW32" s="3">
        <f>'Shipment (Production)'!DU32</f>
        <v>0</v>
      </c>
      <c r="DX32" s="3">
        <f>'Shipment (Production)'!DV32</f>
        <v>0</v>
      </c>
      <c r="DY32" s="80">
        <f t="shared" si="120"/>
        <v>0</v>
      </c>
      <c r="DZ32" s="3">
        <f>'Shipment (Production)'!DV32</f>
        <v>0</v>
      </c>
      <c r="EA32" s="3">
        <f>'Shipment (Production)'!DW32</f>
        <v>0</v>
      </c>
      <c r="EB32" s="3">
        <f>'Shipment (Production)'!DZ32</f>
        <v>0</v>
      </c>
      <c r="EC32" s="3">
        <f>'Shipment (Production)'!EA32</f>
        <v>0</v>
      </c>
      <c r="ED32" s="80">
        <f t="shared" si="121"/>
        <v>0</v>
      </c>
      <c r="EE32" s="3">
        <f>'Shipment (Production)'!EA32</f>
        <v>0</v>
      </c>
      <c r="EF32" s="3">
        <f>'Shipment (Production)'!EB32</f>
        <v>0</v>
      </c>
      <c r="EG32" s="3">
        <f>'Shipment (Production)'!EE32</f>
        <v>0</v>
      </c>
      <c r="EH32" s="3">
        <f>'Shipment (Production)'!EF32</f>
        <v>0</v>
      </c>
      <c r="EI32" s="80">
        <f t="shared" si="122"/>
        <v>0</v>
      </c>
      <c r="EJ32" s="3">
        <f>'Shipment (Production)'!EF32</f>
        <v>0</v>
      </c>
      <c r="EK32" s="3">
        <f>'Shipment (Production)'!EG32</f>
        <v>0</v>
      </c>
      <c r="EL32" s="3">
        <f>'Shipment (Production)'!EJ32</f>
        <v>0</v>
      </c>
      <c r="EM32" s="3">
        <f>'Shipment (Production)'!EK32</f>
        <v>0</v>
      </c>
      <c r="EN32" s="80">
        <f t="shared" si="123"/>
        <v>0</v>
      </c>
      <c r="EO32" s="3">
        <f>'Shipment (Production)'!EK32</f>
        <v>0</v>
      </c>
      <c r="EP32" s="3">
        <f>'Shipment (Production)'!EL32</f>
        <v>0</v>
      </c>
      <c r="EQ32" s="3">
        <f>'Shipment (Production)'!EO32</f>
        <v>0</v>
      </c>
      <c r="ER32" s="3">
        <f>'Shipment (Production)'!EP32</f>
        <v>0</v>
      </c>
      <c r="ES32" s="80">
        <f t="shared" si="124"/>
        <v>0</v>
      </c>
      <c r="ET32" s="3">
        <f>'Shipment (Production)'!EP32</f>
        <v>0</v>
      </c>
      <c r="EU32" s="3">
        <f>'Shipment (Production)'!EQ32</f>
        <v>0</v>
      </c>
      <c r="EV32" s="3">
        <f>'Shipment (Production)'!ET32</f>
        <v>0</v>
      </c>
      <c r="EW32" s="3">
        <f>'Shipment (Production)'!EU32</f>
        <v>0</v>
      </c>
      <c r="EX32" s="80">
        <f t="shared" si="125"/>
        <v>0</v>
      </c>
      <c r="EY32" s="3">
        <f>'Shipment (Production)'!EU32</f>
        <v>0</v>
      </c>
      <c r="EZ32" s="3">
        <f>'Shipment (Production)'!EV32</f>
        <v>0</v>
      </c>
      <c r="FA32" s="3">
        <f>'Shipment (Production)'!EY32</f>
        <v>0</v>
      </c>
      <c r="FB32" s="3">
        <f>'Shipment (Production)'!EZ32</f>
        <v>0</v>
      </c>
      <c r="FC32" s="80">
        <f t="shared" si="126"/>
        <v>0</v>
      </c>
      <c r="FD32" s="3">
        <f>'Shipment (Production)'!EZ32</f>
        <v>0</v>
      </c>
      <c r="FE32" s="3">
        <f>'Shipment (Production)'!FA32</f>
        <v>0</v>
      </c>
      <c r="FF32" s="3">
        <f>'Shipment (Production)'!FD32</f>
        <v>0</v>
      </c>
      <c r="FG32" s="3">
        <f>'Shipment (Production)'!FE32</f>
        <v>0</v>
      </c>
      <c r="FH32" s="80">
        <f t="shared" si="127"/>
        <v>0</v>
      </c>
      <c r="FI32" s="3">
        <f>'Shipment (Production)'!FE32</f>
        <v>0</v>
      </c>
      <c r="FJ32" s="3">
        <f>'Shipment (Production)'!FF32</f>
        <v>0</v>
      </c>
      <c r="FK32" s="3">
        <f>'Shipment (Production)'!FI32</f>
        <v>0</v>
      </c>
      <c r="FL32" s="3">
        <f>'Shipment (Production)'!FJ32</f>
        <v>0</v>
      </c>
      <c r="FM32" s="80">
        <f t="shared" si="128"/>
        <v>0</v>
      </c>
      <c r="FN32" s="3">
        <f>'Shipment (Production)'!FJ32</f>
        <v>0</v>
      </c>
      <c r="FO32" s="3">
        <f>'Shipment (Production)'!FK32</f>
        <v>0</v>
      </c>
      <c r="FP32" s="3">
        <f>'Shipment (Production)'!FN32</f>
        <v>0</v>
      </c>
      <c r="FQ32" s="3">
        <f>'Shipment (Production)'!FO32</f>
        <v>0</v>
      </c>
      <c r="FR32" s="80">
        <f t="shared" si="129"/>
        <v>0</v>
      </c>
      <c r="FS32" s="3">
        <f>'Shipment (Production)'!FO32</f>
        <v>0</v>
      </c>
      <c r="FT32" s="3">
        <f>'Shipment (Production)'!FP32</f>
        <v>0</v>
      </c>
      <c r="FU32" s="3">
        <f>'Shipment (Production)'!FS32</f>
        <v>0</v>
      </c>
      <c r="FV32" s="3">
        <f>'Shipment (Production)'!FT32</f>
        <v>0</v>
      </c>
      <c r="FW32" s="80">
        <f t="shared" si="130"/>
        <v>0</v>
      </c>
      <c r="FX32" s="3">
        <f>'Shipment (Production)'!FT32</f>
        <v>0</v>
      </c>
      <c r="FY32" s="3">
        <f>'Shipment (Production)'!FU32</f>
        <v>0</v>
      </c>
      <c r="FZ32" s="3">
        <f>'Shipment (Production)'!FX32</f>
        <v>0</v>
      </c>
      <c r="GA32" s="3">
        <f>'Shipment (Production)'!FY32</f>
        <v>0</v>
      </c>
      <c r="GB32" s="80">
        <f t="shared" si="131"/>
        <v>0</v>
      </c>
      <c r="GC32" s="12">
        <f t="shared" si="132"/>
        <v>0</v>
      </c>
    </row>
    <row r="33" spans="2:185" s="2" customFormat="1" x14ac:dyDescent="0.35">
      <c r="B33" s="2" t="s">
        <v>46</v>
      </c>
      <c r="C33" s="10">
        <f t="shared" ref="C33:F33" si="133">SUM(C4:C24)</f>
        <v>0</v>
      </c>
      <c r="D33" s="10">
        <f t="shared" si="133"/>
        <v>0</v>
      </c>
      <c r="E33" s="10">
        <f t="shared" si="133"/>
        <v>0</v>
      </c>
      <c r="F33" s="10">
        <f t="shared" si="133"/>
        <v>0</v>
      </c>
      <c r="G33" s="101">
        <f>SUM(G4:G32)</f>
        <v>16374</v>
      </c>
      <c r="H33" s="101">
        <f t="shared" ref="H33:BS33" si="134">SUM(H4:H32)</f>
        <v>0</v>
      </c>
      <c r="I33" s="101">
        <f t="shared" si="134"/>
        <v>0</v>
      </c>
      <c r="J33" s="101">
        <f t="shared" si="134"/>
        <v>0</v>
      </c>
      <c r="K33" s="101">
        <f t="shared" si="134"/>
        <v>0</v>
      </c>
      <c r="L33" s="101">
        <f t="shared" si="134"/>
        <v>18588</v>
      </c>
      <c r="M33" s="101">
        <f t="shared" si="134"/>
        <v>0</v>
      </c>
      <c r="N33" s="101">
        <f t="shared" si="134"/>
        <v>0</v>
      </c>
      <c r="O33" s="101">
        <f t="shared" si="134"/>
        <v>0</v>
      </c>
      <c r="P33" s="101">
        <f t="shared" si="134"/>
        <v>0</v>
      </c>
      <c r="Q33" s="101">
        <f t="shared" si="134"/>
        <v>22481</v>
      </c>
      <c r="R33" s="101">
        <f t="shared" si="134"/>
        <v>0</v>
      </c>
      <c r="S33" s="101">
        <f t="shared" si="134"/>
        <v>0</v>
      </c>
      <c r="T33" s="101">
        <f t="shared" si="134"/>
        <v>0</v>
      </c>
      <c r="U33" s="101">
        <f t="shared" si="134"/>
        <v>0</v>
      </c>
      <c r="V33" s="101">
        <f t="shared" si="134"/>
        <v>14807</v>
      </c>
      <c r="W33" s="101">
        <f t="shared" si="134"/>
        <v>0</v>
      </c>
      <c r="X33" s="101">
        <f t="shared" si="134"/>
        <v>0</v>
      </c>
      <c r="Y33" s="101">
        <f t="shared" si="134"/>
        <v>0</v>
      </c>
      <c r="Z33" s="101">
        <f t="shared" si="134"/>
        <v>0</v>
      </c>
      <c r="AA33" s="101">
        <f t="shared" si="134"/>
        <v>0</v>
      </c>
      <c r="AB33" s="101">
        <f t="shared" si="134"/>
        <v>0</v>
      </c>
      <c r="AC33" s="101">
        <f t="shared" si="134"/>
        <v>0</v>
      </c>
      <c r="AD33" s="101">
        <f t="shared" si="134"/>
        <v>0</v>
      </c>
      <c r="AE33" s="101">
        <f t="shared" si="134"/>
        <v>0</v>
      </c>
      <c r="AF33" s="101">
        <f t="shared" si="134"/>
        <v>13071</v>
      </c>
      <c r="AG33" s="101">
        <f t="shared" si="134"/>
        <v>0</v>
      </c>
      <c r="AH33" s="101">
        <f t="shared" si="134"/>
        <v>0</v>
      </c>
      <c r="AI33" s="101">
        <f t="shared" si="134"/>
        <v>0</v>
      </c>
      <c r="AJ33" s="101">
        <f t="shared" si="134"/>
        <v>0</v>
      </c>
      <c r="AK33" s="101">
        <f t="shared" si="134"/>
        <v>18465</v>
      </c>
      <c r="AL33" s="101">
        <f t="shared" si="134"/>
        <v>0</v>
      </c>
      <c r="AM33" s="101">
        <f t="shared" si="134"/>
        <v>0</v>
      </c>
      <c r="AN33" s="101">
        <f t="shared" si="134"/>
        <v>0</v>
      </c>
      <c r="AO33" s="101">
        <f t="shared" si="134"/>
        <v>0</v>
      </c>
      <c r="AP33" s="101">
        <f t="shared" si="134"/>
        <v>17872</v>
      </c>
      <c r="AQ33" s="101">
        <f t="shared" si="134"/>
        <v>0</v>
      </c>
      <c r="AR33" s="101">
        <f t="shared" si="134"/>
        <v>0</v>
      </c>
      <c r="AS33" s="101">
        <f t="shared" si="134"/>
        <v>25600</v>
      </c>
      <c r="AT33" s="101">
        <f t="shared" si="134"/>
        <v>19541</v>
      </c>
      <c r="AU33" s="101">
        <f t="shared" si="134"/>
        <v>45141</v>
      </c>
      <c r="AV33" s="101">
        <f t="shared" si="134"/>
        <v>0</v>
      </c>
      <c r="AW33" s="101">
        <f t="shared" si="134"/>
        <v>0</v>
      </c>
      <c r="AX33" s="101">
        <f t="shared" si="134"/>
        <v>0</v>
      </c>
      <c r="AY33" s="101">
        <f t="shared" si="134"/>
        <v>26597</v>
      </c>
      <c r="AZ33" s="101">
        <f t="shared" si="134"/>
        <v>26597</v>
      </c>
      <c r="BA33" s="101">
        <f t="shared" si="134"/>
        <v>0</v>
      </c>
      <c r="BB33" s="101">
        <f t="shared" si="134"/>
        <v>0</v>
      </c>
      <c r="BC33" s="101">
        <f t="shared" si="134"/>
        <v>0</v>
      </c>
      <c r="BD33" s="101">
        <f t="shared" si="134"/>
        <v>26020</v>
      </c>
      <c r="BE33" s="101">
        <f t="shared" si="134"/>
        <v>26020</v>
      </c>
      <c r="BF33" s="101">
        <f t="shared" si="134"/>
        <v>0</v>
      </c>
      <c r="BG33" s="101">
        <f t="shared" si="134"/>
        <v>0</v>
      </c>
      <c r="BH33" s="101">
        <f t="shared" si="134"/>
        <v>16882</v>
      </c>
      <c r="BI33" s="101">
        <f t="shared" si="134"/>
        <v>0</v>
      </c>
      <c r="BJ33" s="101">
        <f t="shared" si="134"/>
        <v>16882</v>
      </c>
      <c r="BK33" s="101">
        <f t="shared" si="134"/>
        <v>236298</v>
      </c>
      <c r="BL33" s="101">
        <f t="shared" si="134"/>
        <v>0</v>
      </c>
      <c r="BM33" s="101">
        <f t="shared" si="134"/>
        <v>4500</v>
      </c>
      <c r="BN33" s="101">
        <f t="shared" si="134"/>
        <v>7761</v>
      </c>
      <c r="BO33" s="101">
        <f t="shared" si="134"/>
        <v>5524</v>
      </c>
      <c r="BP33" s="101">
        <f t="shared" si="134"/>
        <v>17785</v>
      </c>
      <c r="BQ33" s="101">
        <f t="shared" si="134"/>
        <v>0</v>
      </c>
      <c r="BR33" s="101">
        <f t="shared" si="134"/>
        <v>1881</v>
      </c>
      <c r="BS33" s="101">
        <f t="shared" si="134"/>
        <v>7000</v>
      </c>
      <c r="BT33" s="101">
        <f t="shared" ref="BT33:EE33" si="135">SUM(BT4:BT32)</f>
        <v>6501</v>
      </c>
      <c r="BU33" s="101">
        <f t="shared" si="135"/>
        <v>15382</v>
      </c>
      <c r="BV33" s="101">
        <f t="shared" si="135"/>
        <v>5879</v>
      </c>
      <c r="BW33" s="101">
        <f t="shared" si="135"/>
        <v>5395</v>
      </c>
      <c r="BX33" s="101">
        <f t="shared" si="135"/>
        <v>7100</v>
      </c>
      <c r="BY33" s="101">
        <f t="shared" si="135"/>
        <v>7650</v>
      </c>
      <c r="BZ33" s="101">
        <f t="shared" si="135"/>
        <v>26024</v>
      </c>
      <c r="CA33" s="101">
        <f t="shared" si="135"/>
        <v>2938</v>
      </c>
      <c r="CB33" s="101">
        <f t="shared" si="135"/>
        <v>3830</v>
      </c>
      <c r="CC33" s="101">
        <f t="shared" si="135"/>
        <v>6500</v>
      </c>
      <c r="CD33" s="101">
        <f t="shared" si="135"/>
        <v>6500</v>
      </c>
      <c r="CE33" s="101">
        <f t="shared" si="135"/>
        <v>19768</v>
      </c>
      <c r="CF33" s="101">
        <f t="shared" si="135"/>
        <v>6100</v>
      </c>
      <c r="CG33" s="101">
        <f t="shared" si="135"/>
        <v>3400</v>
      </c>
      <c r="CH33" s="101">
        <f t="shared" si="135"/>
        <v>6500</v>
      </c>
      <c r="CI33" s="101">
        <f t="shared" si="135"/>
        <v>7000</v>
      </c>
      <c r="CJ33" s="101">
        <f t="shared" si="135"/>
        <v>23000</v>
      </c>
      <c r="CK33" s="101">
        <f t="shared" ref="CK33:CN33" si="136">SUM(CK4:CK32)</f>
        <v>8700</v>
      </c>
      <c r="CL33" s="101">
        <f t="shared" si="136"/>
        <v>2075</v>
      </c>
      <c r="CM33" s="101">
        <f t="shared" si="136"/>
        <v>6650</v>
      </c>
      <c r="CN33" s="101">
        <f t="shared" si="136"/>
        <v>6000</v>
      </c>
      <c r="CO33" s="101">
        <f t="shared" si="135"/>
        <v>23425</v>
      </c>
      <c r="CP33" s="101">
        <f t="shared" ref="CP33:CS33" si="137">SUM(CP4:CP32)</f>
        <v>6750</v>
      </c>
      <c r="CQ33" s="101">
        <f t="shared" si="137"/>
        <v>1916</v>
      </c>
      <c r="CR33" s="101">
        <f t="shared" si="137"/>
        <v>6450</v>
      </c>
      <c r="CS33" s="101">
        <f t="shared" si="137"/>
        <v>6500</v>
      </c>
      <c r="CT33" s="101">
        <f t="shared" si="135"/>
        <v>21616</v>
      </c>
      <c r="CU33" s="101">
        <f t="shared" ref="CU33:CX33" si="138">SUM(CU4:CU32)</f>
        <v>6570</v>
      </c>
      <c r="CV33" s="101">
        <f t="shared" si="138"/>
        <v>200</v>
      </c>
      <c r="CW33" s="101">
        <f t="shared" si="138"/>
        <v>6000</v>
      </c>
      <c r="CX33" s="101">
        <f t="shared" si="138"/>
        <v>6200</v>
      </c>
      <c r="CY33" s="101">
        <f t="shared" si="135"/>
        <v>18970</v>
      </c>
      <c r="CZ33" s="101">
        <f t="shared" ref="CZ33:DC33" si="139">SUM(CZ4:CZ32)</f>
        <v>6725</v>
      </c>
      <c r="DA33" s="101">
        <f t="shared" si="139"/>
        <v>520</v>
      </c>
      <c r="DB33" s="101">
        <f t="shared" si="139"/>
        <v>6000</v>
      </c>
      <c r="DC33" s="101">
        <f t="shared" si="139"/>
        <v>7450</v>
      </c>
      <c r="DD33" s="101">
        <f t="shared" si="135"/>
        <v>20695</v>
      </c>
      <c r="DE33" s="101">
        <f t="shared" ref="DE33:DH33" si="140">SUM(DE4:DE32)</f>
        <v>6100</v>
      </c>
      <c r="DF33" s="101">
        <f t="shared" si="140"/>
        <v>1075</v>
      </c>
      <c r="DG33" s="101">
        <f t="shared" si="140"/>
        <v>6000</v>
      </c>
      <c r="DH33" s="101">
        <f t="shared" si="140"/>
        <v>6320</v>
      </c>
      <c r="DI33" s="101">
        <f t="shared" si="135"/>
        <v>19495</v>
      </c>
      <c r="DJ33" s="101">
        <f t="shared" ref="DJ33:DM33" si="141">SUM(DJ4:DJ32)</f>
        <v>5300</v>
      </c>
      <c r="DK33" s="101">
        <f t="shared" si="141"/>
        <v>1650</v>
      </c>
      <c r="DL33" s="101">
        <f t="shared" si="141"/>
        <v>6000</v>
      </c>
      <c r="DM33" s="101">
        <f t="shared" si="141"/>
        <v>6550</v>
      </c>
      <c r="DN33" s="101">
        <f t="shared" si="135"/>
        <v>19500</v>
      </c>
      <c r="DO33" s="101">
        <f t="shared" ref="DO33:DR33" si="142">SUM(DO4:DO32)</f>
        <v>4450</v>
      </c>
      <c r="DP33" s="101">
        <f t="shared" si="142"/>
        <v>1375</v>
      </c>
      <c r="DQ33" s="101">
        <f t="shared" si="142"/>
        <v>6600</v>
      </c>
      <c r="DR33" s="101">
        <f t="shared" si="142"/>
        <v>5750</v>
      </c>
      <c r="DS33" s="101">
        <f t="shared" si="135"/>
        <v>18175</v>
      </c>
      <c r="DT33" s="101">
        <f>SUM(DT4:DT32)</f>
        <v>243835</v>
      </c>
      <c r="DU33" s="101">
        <f t="shared" si="135"/>
        <v>0</v>
      </c>
      <c r="DV33" s="101">
        <f t="shared" si="135"/>
        <v>0</v>
      </c>
      <c r="DW33" s="101">
        <f t="shared" si="135"/>
        <v>21430</v>
      </c>
      <c r="DX33" s="101">
        <f t="shared" si="135"/>
        <v>0</v>
      </c>
      <c r="DY33" s="101">
        <f t="shared" si="135"/>
        <v>21430</v>
      </c>
      <c r="DZ33" s="101">
        <f t="shared" si="135"/>
        <v>0</v>
      </c>
      <c r="EA33" s="101">
        <f t="shared" si="135"/>
        <v>0</v>
      </c>
      <c r="EB33" s="101">
        <f t="shared" si="135"/>
        <v>21150</v>
      </c>
      <c r="EC33" s="101">
        <f t="shared" si="135"/>
        <v>0</v>
      </c>
      <c r="ED33" s="101">
        <f t="shared" si="135"/>
        <v>21150</v>
      </c>
      <c r="EE33" s="101">
        <f t="shared" si="135"/>
        <v>0</v>
      </c>
      <c r="EF33" s="101">
        <f t="shared" ref="EF33:GC33" si="143">SUM(EF4:EF32)</f>
        <v>0</v>
      </c>
      <c r="EG33" s="101">
        <f t="shared" si="143"/>
        <v>20206.199999999997</v>
      </c>
      <c r="EH33" s="101">
        <f t="shared" si="143"/>
        <v>0</v>
      </c>
      <c r="EI33" s="101">
        <f t="shared" si="143"/>
        <v>20206.199999999997</v>
      </c>
      <c r="EJ33" s="101">
        <f t="shared" si="143"/>
        <v>0</v>
      </c>
      <c r="EK33" s="101">
        <f t="shared" si="143"/>
        <v>0</v>
      </c>
      <c r="EL33" s="101">
        <f t="shared" si="143"/>
        <v>20787.599999999999</v>
      </c>
      <c r="EM33" s="101">
        <f t="shared" si="143"/>
        <v>0</v>
      </c>
      <c r="EN33" s="101">
        <f t="shared" si="143"/>
        <v>20787.599999999999</v>
      </c>
      <c r="EO33" s="101">
        <f t="shared" si="143"/>
        <v>0</v>
      </c>
      <c r="EP33" s="101">
        <f t="shared" si="143"/>
        <v>0</v>
      </c>
      <c r="EQ33" s="101">
        <f t="shared" si="143"/>
        <v>21114</v>
      </c>
      <c r="ER33" s="101">
        <f t="shared" si="143"/>
        <v>0</v>
      </c>
      <c r="ES33" s="101">
        <f t="shared" si="143"/>
        <v>21114</v>
      </c>
      <c r="ET33" s="101">
        <f t="shared" si="143"/>
        <v>0</v>
      </c>
      <c r="EU33" s="101">
        <f t="shared" si="143"/>
        <v>0</v>
      </c>
      <c r="EV33" s="101">
        <f t="shared" si="143"/>
        <v>21144.6</v>
      </c>
      <c r="EW33" s="101">
        <f t="shared" si="143"/>
        <v>0</v>
      </c>
      <c r="EX33" s="101">
        <f t="shared" si="143"/>
        <v>21144.6</v>
      </c>
      <c r="EY33" s="101">
        <f t="shared" si="143"/>
        <v>0</v>
      </c>
      <c r="EZ33" s="101">
        <f t="shared" si="143"/>
        <v>0</v>
      </c>
      <c r="FA33" s="101">
        <f t="shared" si="143"/>
        <v>21114</v>
      </c>
      <c r="FB33" s="101">
        <f t="shared" si="143"/>
        <v>0</v>
      </c>
      <c r="FC33" s="101">
        <f t="shared" si="143"/>
        <v>21114</v>
      </c>
      <c r="FD33" s="101">
        <f t="shared" si="143"/>
        <v>0</v>
      </c>
      <c r="FE33" s="101">
        <f t="shared" si="143"/>
        <v>0</v>
      </c>
      <c r="FF33" s="101">
        <f t="shared" si="143"/>
        <v>20884.5</v>
      </c>
      <c r="FG33" s="101">
        <f t="shared" si="143"/>
        <v>0</v>
      </c>
      <c r="FH33" s="101">
        <f t="shared" si="143"/>
        <v>20884.5</v>
      </c>
      <c r="FI33" s="101">
        <f t="shared" si="143"/>
        <v>0</v>
      </c>
      <c r="FJ33" s="101">
        <f t="shared" si="143"/>
        <v>0</v>
      </c>
      <c r="FK33" s="101">
        <f t="shared" si="143"/>
        <v>18936.3</v>
      </c>
      <c r="FL33" s="101">
        <f t="shared" si="143"/>
        <v>0</v>
      </c>
      <c r="FM33" s="101">
        <f t="shared" si="143"/>
        <v>18936.3</v>
      </c>
      <c r="FN33" s="101">
        <f t="shared" si="143"/>
        <v>0</v>
      </c>
      <c r="FO33" s="101">
        <f t="shared" si="143"/>
        <v>0</v>
      </c>
      <c r="FP33" s="101">
        <f t="shared" si="143"/>
        <v>16110.9</v>
      </c>
      <c r="FQ33" s="101">
        <f t="shared" si="143"/>
        <v>0</v>
      </c>
      <c r="FR33" s="101">
        <f t="shared" si="143"/>
        <v>16110.9</v>
      </c>
      <c r="FS33" s="101">
        <f t="shared" si="143"/>
        <v>0</v>
      </c>
      <c r="FT33" s="101">
        <f t="shared" si="143"/>
        <v>0</v>
      </c>
      <c r="FU33" s="101">
        <f t="shared" si="143"/>
        <v>15957.9</v>
      </c>
      <c r="FV33" s="101">
        <f t="shared" si="143"/>
        <v>0</v>
      </c>
      <c r="FW33" s="101">
        <f t="shared" si="143"/>
        <v>15957.9</v>
      </c>
      <c r="FX33" s="101">
        <f t="shared" si="143"/>
        <v>0</v>
      </c>
      <c r="FY33" s="101">
        <f t="shared" si="143"/>
        <v>0</v>
      </c>
      <c r="FZ33" s="101">
        <f t="shared" si="143"/>
        <v>15447.9</v>
      </c>
      <c r="GA33" s="101">
        <f t="shared" si="143"/>
        <v>0</v>
      </c>
      <c r="GB33" s="101">
        <f t="shared" si="143"/>
        <v>15447.9</v>
      </c>
      <c r="GC33" s="101">
        <f t="shared" si="143"/>
        <v>234033.9</v>
      </c>
    </row>
    <row r="34" spans="2:185" x14ac:dyDescent="0.35">
      <c r="AT34" s="89"/>
      <c r="AY34" s="1">
        <v>0</v>
      </c>
      <c r="BJ34" s="40"/>
      <c r="BZ34" s="50">
        <f>BZ33*6</f>
        <v>156144</v>
      </c>
      <c r="ES34" s="40"/>
      <c r="ET34" s="40"/>
      <c r="EU34" s="40"/>
      <c r="EV34" s="40"/>
      <c r="EW34" s="40"/>
      <c r="EX34" s="40"/>
      <c r="GC34" s="2">
        <f>203000*6</f>
        <v>1218000</v>
      </c>
    </row>
    <row r="35" spans="2:185" x14ac:dyDescent="0.35">
      <c r="AK35" s="50"/>
      <c r="ES35" s="40"/>
      <c r="ET35" s="40"/>
      <c r="EU35" s="40"/>
      <c r="EV35" s="40"/>
      <c r="EW35" s="40"/>
      <c r="EX35" s="40"/>
      <c r="GC35" s="10"/>
    </row>
  </sheetData>
  <autoFilter ref="A3:DZ34" xr:uid="{9FC0EAFB-6861-4FA1-9D18-EA2ABBC3E52E}"/>
  <mergeCells count="36">
    <mergeCell ref="FX2:GB2"/>
    <mergeCell ref="DU2:DY2"/>
    <mergeCell ref="EY2:FC2"/>
    <mergeCell ref="FD2:FH2"/>
    <mergeCell ref="FI2:FM2"/>
    <mergeCell ref="FN2:FR2"/>
    <mergeCell ref="FS2:FW2"/>
    <mergeCell ref="DZ2:ED2"/>
    <mergeCell ref="EE2:EI2"/>
    <mergeCell ref="EJ2:EN2"/>
    <mergeCell ref="EO2:ES2"/>
    <mergeCell ref="ET2:EX2"/>
    <mergeCell ref="DO2:DS2"/>
    <mergeCell ref="BL2:BP2"/>
    <mergeCell ref="BQ2:BU2"/>
    <mergeCell ref="BV2:BZ2"/>
    <mergeCell ref="CA2:CE2"/>
    <mergeCell ref="CF2:CJ2"/>
    <mergeCell ref="CK2:CO2"/>
    <mergeCell ref="CP2:CT2"/>
    <mergeCell ref="CU2:CY2"/>
    <mergeCell ref="CZ2:DD2"/>
    <mergeCell ref="DE2:DI2"/>
    <mergeCell ref="DJ2:DN2"/>
    <mergeCell ref="BF2:BJ2"/>
    <mergeCell ref="C2:G2"/>
    <mergeCell ref="H2:L2"/>
    <mergeCell ref="M2:Q2"/>
    <mergeCell ref="R2:V2"/>
    <mergeCell ref="W2:AA2"/>
    <mergeCell ref="AB2:AF2"/>
    <mergeCell ref="AG2:AK2"/>
    <mergeCell ref="AL2:AP2"/>
    <mergeCell ref="AQ2:AU2"/>
    <mergeCell ref="AV2:AZ2"/>
    <mergeCell ref="BA2:BE2"/>
  </mergeCells>
  <pageMargins left="0.7" right="0.7" top="0.75" bottom="0.75" header="0.3" footer="0.3"/>
  <headerFooter>
    <oddFooter>&amp;L_x000D_&amp;1#&amp;"Aptos"&amp;10&amp;K000000 Confidential External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CC1C-015F-4545-9099-322992BDFBE9}">
  <sheetPr codeName="Sheet7">
    <tabColor theme="4" tint="0.59999389629810485"/>
  </sheetPr>
  <dimension ref="B1:AP90"/>
  <sheetViews>
    <sheetView zoomScale="102" zoomScaleNormal="80" workbookViewId="0">
      <pane xSplit="3" ySplit="2" topLeftCell="R15" activePane="bottomRight" state="frozen"/>
      <selection pane="topRight" activeCell="C1" sqref="C1"/>
      <selection pane="bottomLeft" activeCell="A3" sqref="A3"/>
      <selection pane="bottomRight" activeCell="Z33" sqref="Z33:AB33"/>
    </sheetView>
  </sheetViews>
  <sheetFormatPr defaultColWidth="8.81640625" defaultRowHeight="14.5" x14ac:dyDescent="0.35"/>
  <cols>
    <col min="1" max="1" width="8.81640625" style="1"/>
    <col min="2" max="2" width="26.1796875" style="6" bestFit="1" customWidth="1"/>
    <col min="3" max="3" width="27.54296875" style="1" bestFit="1" customWidth="1"/>
    <col min="4" max="5" width="8.54296875" style="69" bestFit="1" customWidth="1"/>
    <col min="6" max="6" width="8.54296875" style="69" customWidth="1"/>
    <col min="7" max="8" width="8.54296875" style="69" bestFit="1" customWidth="1"/>
    <col min="9" max="9" width="7.453125" style="69" bestFit="1" customWidth="1"/>
    <col min="10" max="10" width="8.54296875" style="69" bestFit="1" customWidth="1"/>
    <col min="11" max="11" width="7.453125" style="69" bestFit="1" customWidth="1"/>
    <col min="12" max="12" width="7.453125" style="1" bestFit="1" customWidth="1"/>
    <col min="13" max="13" width="8.54296875" style="1" bestFit="1" customWidth="1"/>
    <col min="14" max="14" width="8.26953125" style="1" bestFit="1" customWidth="1"/>
    <col min="15" max="15" width="9.453125" style="1" bestFit="1" customWidth="1"/>
    <col min="16" max="16" width="10.26953125" style="2" bestFit="1" customWidth="1"/>
    <col min="17" max="17" width="11.1796875" style="1" bestFit="1" customWidth="1"/>
    <col min="18" max="18" width="11.1796875" style="1" customWidth="1"/>
    <col min="19" max="19" width="10.7265625" style="1" bestFit="1" customWidth="1"/>
    <col min="20" max="28" width="8.54296875" style="1" bestFit="1" customWidth="1"/>
    <col min="29" max="29" width="10.26953125" style="1" bestFit="1" customWidth="1"/>
    <col min="30" max="30" width="11.1796875" style="1" bestFit="1" customWidth="1"/>
    <col min="31" max="31" width="11.1796875" style="1" customWidth="1"/>
    <col min="32" max="32" width="10.7265625" style="1" bestFit="1" customWidth="1"/>
    <col min="33" max="41" width="8.54296875" style="1" bestFit="1" customWidth="1"/>
    <col min="42" max="42" width="10.26953125" style="1" bestFit="1" customWidth="1"/>
    <col min="43" max="16384" width="8.81640625" style="1"/>
  </cols>
  <sheetData>
    <row r="1" spans="2:42" ht="15" thickBot="1" x14ac:dyDescent="0.4"/>
    <row r="2" spans="2:42" s="6" customFormat="1" x14ac:dyDescent="0.35">
      <c r="B2" s="6" t="s">
        <v>0</v>
      </c>
      <c r="D2" s="49">
        <v>45658</v>
      </c>
      <c r="E2" s="49">
        <v>45689</v>
      </c>
      <c r="F2" s="49">
        <v>45717</v>
      </c>
      <c r="G2" s="49">
        <v>45748</v>
      </c>
      <c r="H2" s="49">
        <v>45778</v>
      </c>
      <c r="I2" s="49">
        <v>45809</v>
      </c>
      <c r="J2" s="49">
        <v>45839</v>
      </c>
      <c r="K2" s="49">
        <v>45870</v>
      </c>
      <c r="L2" s="7">
        <v>45901</v>
      </c>
      <c r="M2" s="7">
        <v>45931</v>
      </c>
      <c r="N2" s="7">
        <v>45962</v>
      </c>
      <c r="O2" s="7">
        <v>45992</v>
      </c>
      <c r="P2" s="5" t="s">
        <v>1</v>
      </c>
      <c r="Q2" s="7">
        <v>46023</v>
      </c>
      <c r="R2" s="7">
        <v>46054</v>
      </c>
      <c r="S2" s="7">
        <v>46082</v>
      </c>
      <c r="T2" s="7">
        <v>46113</v>
      </c>
      <c r="U2" s="7">
        <v>46143</v>
      </c>
      <c r="V2" s="7">
        <v>46174</v>
      </c>
      <c r="W2" s="7">
        <v>46204</v>
      </c>
      <c r="X2" s="7">
        <v>46235</v>
      </c>
      <c r="Y2" s="7">
        <v>46266</v>
      </c>
      <c r="Z2" s="7">
        <v>46296</v>
      </c>
      <c r="AA2" s="7">
        <v>46327</v>
      </c>
      <c r="AB2" s="7">
        <v>46357</v>
      </c>
      <c r="AC2" s="5" t="s">
        <v>2</v>
      </c>
      <c r="AD2" s="7">
        <v>46388</v>
      </c>
      <c r="AE2" s="7">
        <v>46419</v>
      </c>
      <c r="AF2" s="7">
        <v>46447</v>
      </c>
      <c r="AG2" s="7">
        <v>46478</v>
      </c>
      <c r="AH2" s="7">
        <v>46508</v>
      </c>
      <c r="AI2" s="7">
        <v>46539</v>
      </c>
      <c r="AJ2" s="7">
        <v>46569</v>
      </c>
      <c r="AK2" s="7">
        <v>46600</v>
      </c>
      <c r="AL2" s="7">
        <v>46631</v>
      </c>
      <c r="AM2" s="7">
        <v>46661</v>
      </c>
      <c r="AN2" s="7">
        <v>46692</v>
      </c>
      <c r="AO2" s="7">
        <v>46722</v>
      </c>
      <c r="AP2" s="5" t="s">
        <v>3</v>
      </c>
    </row>
    <row r="3" spans="2:42" ht="14.5" hidden="1" customHeight="1" x14ac:dyDescent="0.35">
      <c r="B3" s="162" t="str">
        <f>'IMS vs FRCST'!B13</f>
        <v>Al Fakher Blueberry Mint 50g</v>
      </c>
      <c r="C3" s="21" t="s">
        <v>53</v>
      </c>
      <c r="D3" s="70">
        <v>75</v>
      </c>
      <c r="E3" s="70">
        <f t="shared" ref="E3:O3" si="0">D8</f>
        <v>75</v>
      </c>
      <c r="F3" s="70">
        <f t="shared" si="0"/>
        <v>74</v>
      </c>
      <c r="G3" s="70">
        <f t="shared" si="0"/>
        <v>74</v>
      </c>
      <c r="H3" s="70">
        <f t="shared" si="0"/>
        <v>74</v>
      </c>
      <c r="I3" s="70">
        <f t="shared" si="0"/>
        <v>74</v>
      </c>
      <c r="J3" s="70">
        <f t="shared" si="0"/>
        <v>49</v>
      </c>
      <c r="K3" s="70">
        <f t="shared" si="0"/>
        <v>46</v>
      </c>
      <c r="L3" s="32">
        <f t="shared" si="0"/>
        <v>41</v>
      </c>
      <c r="M3" s="32">
        <f t="shared" si="0"/>
        <v>21</v>
      </c>
      <c r="N3" s="32">
        <f t="shared" si="0"/>
        <v>0</v>
      </c>
      <c r="O3" s="32">
        <f t="shared" si="0"/>
        <v>0</v>
      </c>
      <c r="P3" s="33"/>
      <c r="Q3" s="32">
        <f>O8</f>
        <v>0</v>
      </c>
      <c r="R3" s="32">
        <f>Q8</f>
        <v>0</v>
      </c>
      <c r="S3" s="32">
        <f t="shared" ref="S3:AB3" si="1">R8</f>
        <v>0</v>
      </c>
      <c r="T3" s="32">
        <f t="shared" si="1"/>
        <v>0</v>
      </c>
      <c r="U3" s="32">
        <f t="shared" si="1"/>
        <v>0</v>
      </c>
      <c r="V3" s="32">
        <f t="shared" si="1"/>
        <v>0</v>
      </c>
      <c r="W3" s="32">
        <f t="shared" si="1"/>
        <v>0</v>
      </c>
      <c r="X3" s="32">
        <f t="shared" si="1"/>
        <v>0</v>
      </c>
      <c r="Y3" s="32">
        <f t="shared" si="1"/>
        <v>0</v>
      </c>
      <c r="Z3" s="32">
        <f t="shared" si="1"/>
        <v>0</v>
      </c>
      <c r="AA3" s="32">
        <f t="shared" si="1"/>
        <v>0</v>
      </c>
      <c r="AB3" s="32">
        <f t="shared" si="1"/>
        <v>0</v>
      </c>
      <c r="AC3" s="33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3"/>
    </row>
    <row r="4" spans="2:42" hidden="1" x14ac:dyDescent="0.35">
      <c r="B4" s="163"/>
      <c r="C4" s="4" t="s">
        <v>54</v>
      </c>
      <c r="D4" s="71"/>
      <c r="E4" s="71"/>
      <c r="F4" s="71"/>
      <c r="G4" s="71"/>
      <c r="H4" s="71"/>
      <c r="I4" s="71"/>
      <c r="J4" s="71"/>
      <c r="K4" s="71"/>
      <c r="L4" s="27"/>
      <c r="M4" s="27"/>
      <c r="N4" s="27"/>
      <c r="O4" s="27"/>
      <c r="P4" s="26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6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6"/>
    </row>
    <row r="5" spans="2:42" s="6" customFormat="1" hidden="1" x14ac:dyDescent="0.35">
      <c r="B5" s="163"/>
      <c r="C5" s="42" t="s">
        <v>55</v>
      </c>
      <c r="D5" s="44">
        <f>'IMS vs FRCST'!C13</f>
        <v>0</v>
      </c>
      <c r="E5" s="44">
        <f>'IMS vs FRCST'!D13</f>
        <v>1</v>
      </c>
      <c r="F5" s="44">
        <f>'IMS vs FRCST'!E13</f>
        <v>0</v>
      </c>
      <c r="G5" s="44">
        <f>'IMS vs FRCST'!F13</f>
        <v>0</v>
      </c>
      <c r="H5" s="44">
        <f>'IMS vs FRCST'!G13</f>
        <v>0</v>
      </c>
      <c r="I5" s="44">
        <f>'IMS vs FRCST'!H13</f>
        <v>25</v>
      </c>
      <c r="J5" s="44">
        <f>'IMS vs FRCST'!I13</f>
        <v>3</v>
      </c>
      <c r="K5" s="44">
        <f>'IMS vs FRCST'!J13</f>
        <v>5</v>
      </c>
      <c r="L5" s="43">
        <f>'IMS vs FRCST'!K13</f>
        <v>20</v>
      </c>
      <c r="M5" s="43">
        <f>'IMS vs FRCST'!L13</f>
        <v>21</v>
      </c>
      <c r="N5" s="43">
        <f>'IMS vs FRCST'!M13</f>
        <v>0</v>
      </c>
      <c r="O5" s="43">
        <f>'IMS vs FRCST'!N13</f>
        <v>0</v>
      </c>
      <c r="P5" s="26">
        <f>SUM(D5:O5)</f>
        <v>75</v>
      </c>
      <c r="Q5" s="28">
        <f>'IMS vs FRCST'!P13</f>
        <v>0</v>
      </c>
      <c r="R5" s="28">
        <f>'IMS vs FRCST'!Q13</f>
        <v>0</v>
      </c>
      <c r="S5" s="28">
        <f>'IMS vs FRCST'!R13</f>
        <v>0</v>
      </c>
      <c r="T5" s="28">
        <f>'IMS vs FRCST'!S13</f>
        <v>0</v>
      </c>
      <c r="U5" s="28">
        <f>'IMS vs FRCST'!T13</f>
        <v>0</v>
      </c>
      <c r="V5" s="28">
        <f>'IMS vs FRCST'!U13</f>
        <v>0</v>
      </c>
      <c r="W5" s="28">
        <f>'IMS vs FRCST'!V13</f>
        <v>0</v>
      </c>
      <c r="X5" s="28">
        <f>'IMS vs FRCST'!W13</f>
        <v>0</v>
      </c>
      <c r="Y5" s="28">
        <f>'IMS vs FRCST'!X13</f>
        <v>0</v>
      </c>
      <c r="Z5" s="28">
        <f>'IMS vs FRCST'!Y13</f>
        <v>0</v>
      </c>
      <c r="AA5" s="28">
        <f>'IMS vs FRCST'!Z13</f>
        <v>0</v>
      </c>
      <c r="AB5" s="28">
        <f>'IMS vs FRCST'!AA13</f>
        <v>0</v>
      </c>
      <c r="AC5" s="26">
        <f>SUM(Q5:AB5)</f>
        <v>0</v>
      </c>
      <c r="AD5" s="28">
        <f>'IMS vs FRCST'!AC13</f>
        <v>0</v>
      </c>
      <c r="AE5" s="28">
        <f>'IMS vs FRCST'!AD13</f>
        <v>0</v>
      </c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6">
        <f>SUM(AD5:AO5)</f>
        <v>0</v>
      </c>
    </row>
    <row r="6" spans="2:42" hidden="1" x14ac:dyDescent="0.35">
      <c r="B6" s="163"/>
      <c r="C6" s="4" t="s">
        <v>56</v>
      </c>
      <c r="D6" s="71">
        <f>'Shipment (Production)'!G14</f>
        <v>0</v>
      </c>
      <c r="E6" s="71">
        <f>'Shipment (Production)'!L14</f>
        <v>0</v>
      </c>
      <c r="F6" s="71">
        <f>'Shipment (Production)'!Q14</f>
        <v>0</v>
      </c>
      <c r="G6" s="71">
        <f>'Shipment (Production)'!V14</f>
        <v>0</v>
      </c>
      <c r="H6" s="71">
        <f>'Shipment (Production)'!AA14</f>
        <v>0</v>
      </c>
      <c r="I6" s="71">
        <f>'Shipment (Production)'!AF14</f>
        <v>0</v>
      </c>
      <c r="J6" s="71">
        <f>'Shipment (Production)'!AK14</f>
        <v>0</v>
      </c>
      <c r="K6" s="71">
        <f>'Shipment (Production)'!AP14</f>
        <v>0</v>
      </c>
      <c r="L6" s="27">
        <f>'Shipment (Production)'!AU14</f>
        <v>0</v>
      </c>
      <c r="M6" s="27">
        <f>'Shipment (Production)'!AZ14</f>
        <v>0</v>
      </c>
      <c r="N6" s="27">
        <f>'Shipment (Production)'!BE14</f>
        <v>0</v>
      </c>
      <c r="O6" s="27">
        <f>'Shipment (Production)'!BJ14</f>
        <v>0</v>
      </c>
      <c r="P6" s="26">
        <f>SUM(D6:O6)</f>
        <v>0</v>
      </c>
      <c r="Q6" s="27">
        <f>'Shipment (Production)'!BP14</f>
        <v>0</v>
      </c>
      <c r="R6" s="27">
        <f>'Shipment (Production)'!BU14</f>
        <v>0</v>
      </c>
      <c r="S6" s="27">
        <f>'Shipment (Production)'!BZ14</f>
        <v>0</v>
      </c>
      <c r="T6" s="27">
        <f>'Shipment (Production)'!CE14</f>
        <v>0</v>
      </c>
      <c r="U6" s="27">
        <f>'Shipment (Production)'!CJ14</f>
        <v>0</v>
      </c>
      <c r="V6" s="27">
        <f>'Shipment (Production)'!CO14</f>
        <v>0</v>
      </c>
      <c r="W6" s="27">
        <f>'Shipment (Production)'!CT14</f>
        <v>0</v>
      </c>
      <c r="X6" s="27">
        <f>'Shipment (Production)'!CY14</f>
        <v>0</v>
      </c>
      <c r="Y6" s="27">
        <f>'Shipment (Production)'!DD14</f>
        <v>0</v>
      </c>
      <c r="Z6" s="27">
        <f>'Shipment (Production)'!DI14</f>
        <v>0</v>
      </c>
      <c r="AA6" s="27">
        <f>'Shipment (Production)'!DN14</f>
        <v>0</v>
      </c>
      <c r="AB6" s="27">
        <f>'Shipment (Production)'!DS14</f>
        <v>0</v>
      </c>
      <c r="AC6" s="26">
        <f>SUM(Q6:AB6)</f>
        <v>0</v>
      </c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6">
        <f>SUM(AD6:AO6)</f>
        <v>0</v>
      </c>
    </row>
    <row r="7" spans="2:42" hidden="1" x14ac:dyDescent="0.35">
      <c r="B7" s="163"/>
      <c r="C7" s="4" t="s">
        <v>57</v>
      </c>
      <c r="D7" s="71">
        <f>'Arrival to Regie'!G14</f>
        <v>0</v>
      </c>
      <c r="E7" s="71">
        <f>'Arrival to Regie'!L14</f>
        <v>0</v>
      </c>
      <c r="F7" s="71">
        <f>'Arrival to Regie'!Q14</f>
        <v>0</v>
      </c>
      <c r="G7" s="71">
        <f>'Arrival to Regie'!V14</f>
        <v>0</v>
      </c>
      <c r="H7" s="71">
        <f>'Arrival to Regie'!AA14</f>
        <v>0</v>
      </c>
      <c r="I7" s="71">
        <f>'Arrival to Regie'!AF14</f>
        <v>0</v>
      </c>
      <c r="J7" s="71">
        <f>'Arrival to Regie'!AK14</f>
        <v>0</v>
      </c>
      <c r="K7" s="71">
        <f>'Arrival to Regie'!AP14</f>
        <v>0</v>
      </c>
      <c r="L7" s="27">
        <f>'Arrival to Regie'!AU14</f>
        <v>0</v>
      </c>
      <c r="M7" s="27">
        <f>'Arrival to Regie'!AZ14</f>
        <v>0</v>
      </c>
      <c r="N7" s="27">
        <f>'Arrival to Regie'!BE14</f>
        <v>0</v>
      </c>
      <c r="O7" s="27">
        <f>'Arrival to Regie'!BJ14</f>
        <v>0</v>
      </c>
      <c r="P7" s="26">
        <f>SUM(D7:O7)</f>
        <v>0</v>
      </c>
      <c r="Q7" s="27">
        <f>'Arrival to Regie'!BP14</f>
        <v>0</v>
      </c>
      <c r="R7" s="27">
        <f>'Arrival to Regie'!BU14</f>
        <v>0</v>
      </c>
      <c r="S7" s="27">
        <f>'Arrival to Regie'!BZ14</f>
        <v>0</v>
      </c>
      <c r="T7" s="27">
        <f>'Arrival to Regie'!CE14</f>
        <v>0</v>
      </c>
      <c r="U7" s="27">
        <f>'Arrival to Regie'!CJ14</f>
        <v>0</v>
      </c>
      <c r="V7" s="27">
        <f>'Arrival to Regie'!CO14</f>
        <v>0</v>
      </c>
      <c r="W7" s="27">
        <f>'Arrival to Regie'!CT14</f>
        <v>0</v>
      </c>
      <c r="X7" s="27">
        <f>'Arrival to Regie'!CY14</f>
        <v>0</v>
      </c>
      <c r="Y7" s="27">
        <f>'Arrival to Regie'!DD14</f>
        <v>0</v>
      </c>
      <c r="Z7" s="27">
        <f>'Arrival to Regie'!DI14</f>
        <v>0</v>
      </c>
      <c r="AA7" s="27">
        <f>'Arrival to Regie'!DN14</f>
        <v>0</v>
      </c>
      <c r="AB7" s="27">
        <f>'Arrival to Regie'!DS14</f>
        <v>0</v>
      </c>
      <c r="AC7" s="26">
        <f>SUM(Q7:AB7)</f>
        <v>0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6">
        <f>SUM(AD7:AO7)</f>
        <v>0</v>
      </c>
    </row>
    <row r="8" spans="2:42" hidden="1" x14ac:dyDescent="0.35">
      <c r="B8" s="163"/>
      <c r="C8" s="47" t="s">
        <v>58</v>
      </c>
      <c r="D8" s="72">
        <f t="shared" ref="D8:AB8" si="2">D3+D4+D7-D5</f>
        <v>75</v>
      </c>
      <c r="E8" s="72">
        <f t="shared" si="2"/>
        <v>74</v>
      </c>
      <c r="F8" s="72">
        <f t="shared" si="2"/>
        <v>74</v>
      </c>
      <c r="G8" s="72">
        <f t="shared" si="2"/>
        <v>74</v>
      </c>
      <c r="H8" s="72">
        <f t="shared" si="2"/>
        <v>74</v>
      </c>
      <c r="I8" s="72">
        <f t="shared" si="2"/>
        <v>49</v>
      </c>
      <c r="J8" s="72">
        <f t="shared" si="2"/>
        <v>46</v>
      </c>
      <c r="K8" s="72">
        <f>K3+K4+K7-K5</f>
        <v>41</v>
      </c>
      <c r="L8" s="48">
        <f t="shared" si="2"/>
        <v>21</v>
      </c>
      <c r="M8" s="48">
        <f t="shared" si="2"/>
        <v>0</v>
      </c>
      <c r="N8" s="48">
        <f t="shared" si="2"/>
        <v>0</v>
      </c>
      <c r="O8" s="48">
        <f t="shared" si="2"/>
        <v>0</v>
      </c>
      <c r="P8" s="26"/>
      <c r="Q8" s="48">
        <f>Q3+Q4+Q7-Q5</f>
        <v>0</v>
      </c>
      <c r="R8" s="48">
        <f t="shared" si="2"/>
        <v>0</v>
      </c>
      <c r="S8" s="48">
        <f t="shared" si="2"/>
        <v>0</v>
      </c>
      <c r="T8" s="48">
        <f t="shared" si="2"/>
        <v>0</v>
      </c>
      <c r="U8" s="48">
        <f t="shared" si="2"/>
        <v>0</v>
      </c>
      <c r="V8" s="48">
        <f t="shared" si="2"/>
        <v>0</v>
      </c>
      <c r="W8" s="48">
        <f t="shared" si="2"/>
        <v>0</v>
      </c>
      <c r="X8" s="48">
        <f t="shared" si="2"/>
        <v>0</v>
      </c>
      <c r="Y8" s="48">
        <f t="shared" si="2"/>
        <v>0</v>
      </c>
      <c r="Z8" s="48">
        <f t="shared" si="2"/>
        <v>0</v>
      </c>
      <c r="AA8" s="48">
        <f t="shared" si="2"/>
        <v>0</v>
      </c>
      <c r="AB8" s="48">
        <f t="shared" si="2"/>
        <v>0</v>
      </c>
      <c r="AC8" s="26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26"/>
    </row>
    <row r="9" spans="2:42" ht="15" hidden="1" thickBot="1" x14ac:dyDescent="0.4">
      <c r="B9" s="164"/>
      <c r="C9" s="34" t="s">
        <v>59</v>
      </c>
      <c r="D9" s="35">
        <f>IF(D8=0,0,IFERROR((((D8)/(AVERAGE(E5:F5)))*4.3),"∞"))</f>
        <v>645</v>
      </c>
      <c r="E9" s="35" t="str">
        <f t="shared" ref="E9:M9" si="3">IF(E8=0,0,IFERROR((((E8)/(AVERAGE(F5:G5)))*4.3),"∞"))</f>
        <v>∞</v>
      </c>
      <c r="F9" s="35" t="str">
        <f t="shared" si="3"/>
        <v>∞</v>
      </c>
      <c r="G9" s="35">
        <f t="shared" si="3"/>
        <v>25.456</v>
      </c>
      <c r="H9" s="35">
        <f t="shared" si="3"/>
        <v>22.728571428571428</v>
      </c>
      <c r="I9" s="35">
        <f t="shared" si="3"/>
        <v>52.674999999999997</v>
      </c>
      <c r="J9" s="35">
        <f t="shared" si="3"/>
        <v>15.824</v>
      </c>
      <c r="K9" s="35">
        <f t="shared" si="3"/>
        <v>8.6</v>
      </c>
      <c r="L9" s="35">
        <f t="shared" si="3"/>
        <v>8.6</v>
      </c>
      <c r="M9" s="35">
        <f t="shared" si="3"/>
        <v>0</v>
      </c>
      <c r="N9" s="35">
        <f>IF(N8=0,0,IFERROR((((N8)/(AVERAGE(O5,Q5)))*4.3),"∞"))</f>
        <v>0</v>
      </c>
      <c r="O9" s="35">
        <f>IF(O8=0,0,IFERROR((((O8)/(AVERAGE(Q5:R5)))*4.3),"∞"))</f>
        <v>0</v>
      </c>
      <c r="P9" s="36"/>
      <c r="Q9" s="35">
        <f>IF(Q8=0,0,IFERROR((((Q8)/(AVERAGE(R5:S5)))*4.3),"∞"))</f>
        <v>0</v>
      </c>
      <c r="R9" s="35">
        <f t="shared" ref="R9" si="4">IF(R8=0,0,IFERROR((((R8)/(AVERAGE(S5:T5)))*4.3),"∞"))</f>
        <v>0</v>
      </c>
      <c r="S9" s="35">
        <f t="shared" ref="S9" si="5">IF(S8=0,0,IFERROR((((S8)/(AVERAGE(T5:U5)))*4.3),"∞"))</f>
        <v>0</v>
      </c>
      <c r="T9" s="35">
        <f t="shared" ref="T9" si="6">IF(T8=0,0,IFERROR((((T8)/(AVERAGE(U5:V5)))*4.3),"∞"))</f>
        <v>0</v>
      </c>
      <c r="U9" s="35">
        <f t="shared" ref="U9" si="7">IF(U8=0,0,IFERROR((((U8)/(AVERAGE(V5:W5)))*4.3),"∞"))</f>
        <v>0</v>
      </c>
      <c r="V9" s="35">
        <f t="shared" ref="V9" si="8">IF(V8=0,0,IFERROR((((V8)/(AVERAGE(W5:X5)))*4.3),"∞"))</f>
        <v>0</v>
      </c>
      <c r="W9" s="35">
        <f t="shared" ref="W9" si="9">IF(W8=0,0,IFERROR((((W8)/(AVERAGE(X5:Y5)))*4.3),"∞"))</f>
        <v>0</v>
      </c>
      <c r="X9" s="35">
        <f t="shared" ref="X9" si="10">IF(X8=0,0,IFERROR((((X8)/(AVERAGE(Y5:Z5)))*4.3),"∞"))</f>
        <v>0</v>
      </c>
      <c r="Y9" s="35">
        <f t="shared" ref="Y9" si="11">IF(Y8=0,0,IFERROR((((Y8)/(AVERAGE(Z5:AA5)))*4.3),"∞"))</f>
        <v>0</v>
      </c>
      <c r="Z9" s="35">
        <f t="shared" ref="Z9" si="12">IF(Z8=0,0,IFERROR((((Z8)/(AVERAGE(AA5:AB5)))*4.3),"∞"))</f>
        <v>0</v>
      </c>
      <c r="AA9" s="35">
        <f>IF(AA8=0,0,IFERROR((((AA8)/(AVERAGE(AB5,AD5)))*4.3),"∞"))</f>
        <v>0</v>
      </c>
      <c r="AB9" s="35">
        <f>IF(AB8=0,0,IFERROR((((AB8)/(AVERAGE(AD5:AE5)))*4.3),"∞"))</f>
        <v>0</v>
      </c>
      <c r="AC9" s="36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6"/>
    </row>
    <row r="10" spans="2:42" s="23" customFormat="1" ht="15" thickBot="1" x14ac:dyDescent="0.4">
      <c r="B10" s="22"/>
      <c r="D10" s="73"/>
      <c r="E10" s="73"/>
      <c r="F10" s="73"/>
      <c r="G10" s="73"/>
      <c r="H10" s="73"/>
      <c r="I10" s="73"/>
      <c r="J10" s="73"/>
      <c r="K10" s="73"/>
      <c r="L10" s="41"/>
      <c r="M10" s="41"/>
      <c r="N10" s="41"/>
      <c r="O10" s="41"/>
      <c r="P10" s="25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5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5"/>
    </row>
    <row r="11" spans="2:42" ht="14.5" customHeight="1" x14ac:dyDescent="0.35">
      <c r="B11" s="162" t="str">
        <f>'IMS vs FRCST'!B14</f>
        <v>Al Fakher Blueberry 50g</v>
      </c>
      <c r="C11" s="21" t="s">
        <v>53</v>
      </c>
      <c r="D11" s="70">
        <v>0</v>
      </c>
      <c r="E11" s="70">
        <f t="shared" ref="E11" si="13">D16</f>
        <v>0</v>
      </c>
      <c r="F11" s="70">
        <f t="shared" ref="F11:O11" si="14">E16</f>
        <v>0</v>
      </c>
      <c r="G11" s="70">
        <f t="shared" si="14"/>
        <v>169</v>
      </c>
      <c r="H11" s="70">
        <f t="shared" si="14"/>
        <v>83</v>
      </c>
      <c r="I11" s="70">
        <f t="shared" si="14"/>
        <v>78</v>
      </c>
      <c r="J11" s="70">
        <f t="shared" si="14"/>
        <v>64</v>
      </c>
      <c r="K11" s="70">
        <f t="shared" si="14"/>
        <v>4</v>
      </c>
      <c r="L11" s="52">
        <f t="shared" si="14"/>
        <v>0</v>
      </c>
      <c r="M11" s="32">
        <f t="shared" si="14"/>
        <v>89</v>
      </c>
      <c r="N11" s="32">
        <f t="shared" si="14"/>
        <v>0</v>
      </c>
      <c r="O11" s="32">
        <f t="shared" si="14"/>
        <v>0</v>
      </c>
      <c r="P11" s="137"/>
      <c r="Q11" s="32">
        <f t="shared" ref="Q11:Z11" si="15">P16</f>
        <v>0</v>
      </c>
      <c r="R11" s="32">
        <f t="shared" si="15"/>
        <v>271</v>
      </c>
      <c r="S11" s="32">
        <f t="shared" si="15"/>
        <v>248</v>
      </c>
      <c r="T11" s="32">
        <f t="shared" si="15"/>
        <v>306</v>
      </c>
      <c r="U11" s="32">
        <f t="shared" si="15"/>
        <v>276</v>
      </c>
      <c r="V11" s="32">
        <f t="shared" si="15"/>
        <v>216</v>
      </c>
      <c r="W11" s="32">
        <f t="shared" si="15"/>
        <v>156</v>
      </c>
      <c r="X11" s="32">
        <f t="shared" si="15"/>
        <v>96</v>
      </c>
      <c r="Y11" s="32">
        <f t="shared" si="15"/>
        <v>256</v>
      </c>
      <c r="Z11" s="32">
        <f t="shared" si="15"/>
        <v>196</v>
      </c>
      <c r="AA11" s="32">
        <f t="shared" ref="AA11:AB11" si="16">Z16</f>
        <v>136</v>
      </c>
      <c r="AB11" s="32">
        <f t="shared" si="16"/>
        <v>76</v>
      </c>
      <c r="AC11" s="33"/>
      <c r="AD11" s="32">
        <f t="shared" ref="AD11" si="17">AC16</f>
        <v>2279</v>
      </c>
      <c r="AE11" s="32">
        <f t="shared" ref="AE11" si="18">AD16</f>
        <v>2279</v>
      </c>
      <c r="AF11" s="32">
        <f t="shared" ref="AF11" si="19">AE16</f>
        <v>2279</v>
      </c>
      <c r="AG11" s="32">
        <f t="shared" ref="AG11" si="20">AF16</f>
        <v>2299.4</v>
      </c>
      <c r="AH11" s="32">
        <f t="shared" ref="AH11" si="21">AG16</f>
        <v>2330</v>
      </c>
      <c r="AI11" s="32">
        <f t="shared" ref="AI11" si="22">AH16</f>
        <v>2330</v>
      </c>
      <c r="AJ11" s="32">
        <f t="shared" ref="AJ11" si="23">AI16</f>
        <v>2330</v>
      </c>
      <c r="AK11" s="32">
        <f t="shared" ref="AK11" si="24">AJ16</f>
        <v>2330</v>
      </c>
      <c r="AL11" s="32">
        <f t="shared" ref="AL11" si="25">AK16</f>
        <v>2330</v>
      </c>
      <c r="AM11" s="32">
        <f t="shared" ref="AM11" si="26">AL16</f>
        <v>2299.4</v>
      </c>
      <c r="AN11" s="32">
        <f t="shared" ref="AN11" si="27">AM16</f>
        <v>2268.8000000000002</v>
      </c>
      <c r="AO11" s="32">
        <f t="shared" ref="AO11" si="28">AN16</f>
        <v>2238.2000000000003</v>
      </c>
      <c r="AP11" s="33"/>
    </row>
    <row r="12" spans="2:42" x14ac:dyDescent="0.35">
      <c r="B12" s="163"/>
      <c r="C12" s="4" t="s">
        <v>54</v>
      </c>
      <c r="D12" s="71"/>
      <c r="E12" s="71"/>
      <c r="F12" s="71"/>
      <c r="G12" s="71"/>
      <c r="H12" s="71"/>
      <c r="I12" s="71"/>
      <c r="J12" s="71">
        <v>0</v>
      </c>
      <c r="K12" s="71"/>
      <c r="L12" s="27"/>
      <c r="M12" s="27"/>
      <c r="N12" s="27"/>
      <c r="O12" s="27"/>
      <c r="P12" s="138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6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6"/>
    </row>
    <row r="13" spans="2:42" s="6" customFormat="1" x14ac:dyDescent="0.35">
      <c r="B13" s="163"/>
      <c r="C13" s="42" t="s">
        <v>55</v>
      </c>
      <c r="D13" s="44">
        <f>'IMS vs FRCST'!C14</f>
        <v>0</v>
      </c>
      <c r="E13" s="44">
        <f>'IMS vs FRCST'!D14</f>
        <v>0</v>
      </c>
      <c r="F13" s="44">
        <f>'IMS vs FRCST'!E14</f>
        <v>5</v>
      </c>
      <c r="G13" s="44">
        <f>'IMS vs FRCST'!F14</f>
        <v>86</v>
      </c>
      <c r="H13" s="44">
        <f>'IMS vs FRCST'!G14</f>
        <v>5</v>
      </c>
      <c r="I13" s="44">
        <f>'IMS vs FRCST'!H14</f>
        <v>14</v>
      </c>
      <c r="J13" s="44">
        <f>'IMS vs FRCST'!I14</f>
        <v>60</v>
      </c>
      <c r="K13" s="44">
        <f>'IMS vs FRCST'!J14</f>
        <v>4</v>
      </c>
      <c r="L13" s="43">
        <f>'IMS vs FRCST'!K14</f>
        <v>74</v>
      </c>
      <c r="M13" s="43">
        <f>'IMS vs FRCST'!L14</f>
        <v>89</v>
      </c>
      <c r="N13" s="43">
        <f>'IMS vs FRCST'!M14</f>
        <v>0</v>
      </c>
      <c r="O13" s="43">
        <f>'IMS vs FRCST'!N14</f>
        <v>0</v>
      </c>
      <c r="P13" s="139">
        <f>'IMS vs FRCST'!O14</f>
        <v>337</v>
      </c>
      <c r="Q13" s="28">
        <f>'IMS vs FRCST'!P14</f>
        <v>13</v>
      </c>
      <c r="R13" s="28">
        <f>'IMS vs FRCST'!Q14</f>
        <v>23</v>
      </c>
      <c r="S13" s="28">
        <f>'IMS vs FRCST'!R14</f>
        <v>42</v>
      </c>
      <c r="T13" s="28">
        <f>'IMS vs FRCST'!S14</f>
        <v>30</v>
      </c>
      <c r="U13" s="28">
        <f>'IMS vs FRCST'!T14</f>
        <v>60</v>
      </c>
      <c r="V13" s="28">
        <f>'IMS vs FRCST'!U14</f>
        <v>60</v>
      </c>
      <c r="W13" s="28">
        <f>'IMS vs FRCST'!V14</f>
        <v>60</v>
      </c>
      <c r="X13" s="28">
        <f>'IMS vs FRCST'!W14</f>
        <v>60</v>
      </c>
      <c r="Y13" s="28">
        <f>'IMS vs FRCST'!X14</f>
        <v>60</v>
      </c>
      <c r="Z13" s="28">
        <f>'IMS vs FRCST'!Y14</f>
        <v>60</v>
      </c>
      <c r="AA13" s="28">
        <f>'IMS vs FRCST'!Z14</f>
        <v>60</v>
      </c>
      <c r="AB13" s="28">
        <f>'IMS vs FRCST'!AA14</f>
        <v>30</v>
      </c>
      <c r="AC13" s="26">
        <f>SUM(Q13:AB13)</f>
        <v>558</v>
      </c>
      <c r="AD13" s="28">
        <f>'IMS vs FRCST'!AC14</f>
        <v>150</v>
      </c>
      <c r="AE13" s="28">
        <f>'IMS vs FRCST'!AD14</f>
        <v>75</v>
      </c>
      <c r="AF13" s="28">
        <f>'IMS vs FRCST'!AE14</f>
        <v>30.6</v>
      </c>
      <c r="AG13" s="28">
        <f>'IMS vs FRCST'!AF14</f>
        <v>30.6</v>
      </c>
      <c r="AH13" s="28">
        <f>'IMS vs FRCST'!AG14</f>
        <v>61.2</v>
      </c>
      <c r="AI13" s="28">
        <f>'IMS vs FRCST'!AH14</f>
        <v>61.2</v>
      </c>
      <c r="AJ13" s="28">
        <f>'IMS vs FRCST'!AI14</f>
        <v>61.2</v>
      </c>
      <c r="AK13" s="28">
        <f>'IMS vs FRCST'!AJ14</f>
        <v>61.2</v>
      </c>
      <c r="AL13" s="28">
        <f>'IMS vs FRCST'!AK14</f>
        <v>61.2</v>
      </c>
      <c r="AM13" s="28">
        <f>'IMS vs FRCST'!AL14</f>
        <v>61.2</v>
      </c>
      <c r="AN13" s="28">
        <f>'IMS vs FRCST'!AM14</f>
        <v>61.2</v>
      </c>
      <c r="AO13" s="28">
        <f>'IMS vs FRCST'!AN14</f>
        <v>30.6</v>
      </c>
      <c r="AP13" s="26">
        <f>SUM(AD13:AO13)</f>
        <v>745.20000000000016</v>
      </c>
    </row>
    <row r="14" spans="2:42" x14ac:dyDescent="0.35">
      <c r="B14" s="163"/>
      <c r="C14" s="4" t="s">
        <v>56</v>
      </c>
      <c r="D14" s="71">
        <f>'Shipment (Production)'!G15</f>
        <v>0</v>
      </c>
      <c r="E14" s="71">
        <f>'Shipment (Production)'!L15</f>
        <v>0</v>
      </c>
      <c r="F14" s="71">
        <f>'Shipment (Production)'!Q15</f>
        <v>174</v>
      </c>
      <c r="G14" s="71">
        <f>'Shipment (Production)'!V15</f>
        <v>0</v>
      </c>
      <c r="H14" s="71">
        <f>'Shipment (Production)'!AA15</f>
        <v>0</v>
      </c>
      <c r="I14" s="71">
        <f>'Shipment (Production)'!AF15</f>
        <v>0</v>
      </c>
      <c r="J14" s="71">
        <f>'Shipment (Production)'!AK15</f>
        <v>0</v>
      </c>
      <c r="K14" s="71">
        <f>'Shipment (Production)'!AP15</f>
        <v>0</v>
      </c>
      <c r="L14" s="27">
        <f>'Shipment (Production)'!AU15</f>
        <v>163</v>
      </c>
      <c r="M14" s="27">
        <f>'Shipment (Production)'!AZ15</f>
        <v>0</v>
      </c>
      <c r="N14" s="27">
        <f>'Shipment (Production)'!BE15</f>
        <v>0</v>
      </c>
      <c r="O14" s="27">
        <f>'Shipment (Production)'!BJ15</f>
        <v>0</v>
      </c>
      <c r="P14" s="138">
        <f>SUM(D126:O126)</f>
        <v>0</v>
      </c>
      <c r="Q14" s="27">
        <f>'Shipment (Production)'!BP15</f>
        <v>284</v>
      </c>
      <c r="R14" s="27">
        <f>'Shipment (Production)'!BU15</f>
        <v>0</v>
      </c>
      <c r="S14" s="27">
        <f>'Shipment (Production)'!BZ15</f>
        <v>100</v>
      </c>
      <c r="T14" s="27">
        <f>'Shipment (Production)'!CE15</f>
        <v>0</v>
      </c>
      <c r="U14" s="27">
        <f>'Shipment (Production)'!CJ15</f>
        <v>0</v>
      </c>
      <c r="V14" s="27">
        <f>'Shipment (Production)'!CO15</f>
        <v>0</v>
      </c>
      <c r="W14" s="27">
        <f>'Shipment (Production)'!CT15</f>
        <v>220</v>
      </c>
      <c r="X14" s="27">
        <f>'Shipment (Production)'!CY15</f>
        <v>0</v>
      </c>
      <c r="Y14" s="27">
        <f>'Shipment (Production)'!DD15</f>
        <v>0</v>
      </c>
      <c r="Z14" s="27">
        <f>'Shipment (Production)'!DI15</f>
        <v>0</v>
      </c>
      <c r="AA14" s="27">
        <f>'Shipment (Production)'!DN15</f>
        <v>0</v>
      </c>
      <c r="AB14" s="27">
        <f>'Shipment (Production)'!DS15</f>
        <v>0</v>
      </c>
      <c r="AC14" s="26">
        <f t="shared" ref="AC14:AC16" si="29">SUM(Q14:AB14)</f>
        <v>604</v>
      </c>
      <c r="AD14" s="27">
        <f>'Shipment (Production)'!DY15</f>
        <v>150</v>
      </c>
      <c r="AE14" s="27">
        <f>'Shipment (Production)'!ED15</f>
        <v>75</v>
      </c>
      <c r="AF14" s="27">
        <f>'Shipment (Production)'!EI15</f>
        <v>51</v>
      </c>
      <c r="AG14" s="27">
        <f>'Shipment (Production)'!EN15</f>
        <v>61.2</v>
      </c>
      <c r="AH14" s="27">
        <f>'Shipment (Production)'!ES15</f>
        <v>61.2</v>
      </c>
      <c r="AI14" s="27">
        <f>'Shipment (Production)'!EX15</f>
        <v>61.2</v>
      </c>
      <c r="AJ14" s="27">
        <f>'Shipment (Production)'!FC15</f>
        <v>61.2</v>
      </c>
      <c r="AK14" s="27">
        <f>'Shipment (Production)'!FH15</f>
        <v>61.2</v>
      </c>
      <c r="AL14" s="27">
        <f>'Shipment (Production)'!FM15</f>
        <v>30.6</v>
      </c>
      <c r="AM14" s="27">
        <f>'Shipment (Production)'!FR15</f>
        <v>30.6</v>
      </c>
      <c r="AN14" s="27">
        <f>'Shipment (Production)'!FW15</f>
        <v>30.6</v>
      </c>
      <c r="AO14" s="27">
        <f>'Shipment (Production)'!GB15</f>
        <v>30.6</v>
      </c>
      <c r="AP14" s="26">
        <f t="shared" ref="AP14:AP16" si="30">SUM(AD14:AO14)</f>
        <v>704.40000000000009</v>
      </c>
    </row>
    <row r="15" spans="2:42" x14ac:dyDescent="0.35">
      <c r="B15" s="163"/>
      <c r="C15" s="4" t="s">
        <v>57</v>
      </c>
      <c r="D15" s="71">
        <f>'Arrival to Regie'!G15</f>
        <v>0</v>
      </c>
      <c r="E15" s="71">
        <f>'Arrival to Regie'!L15</f>
        <v>0</v>
      </c>
      <c r="F15" s="71">
        <f>'Arrival to Regie'!Q15</f>
        <v>174</v>
      </c>
      <c r="G15" s="71">
        <f>'Arrival to Regie'!V15</f>
        <v>0</v>
      </c>
      <c r="H15" s="71">
        <f>'Arrival to Regie'!AA15</f>
        <v>0</v>
      </c>
      <c r="I15" s="71">
        <f>'Arrival to Regie'!AF15</f>
        <v>0</v>
      </c>
      <c r="J15" s="71">
        <f>'Arrival to Regie'!AK15</f>
        <v>0</v>
      </c>
      <c r="K15" s="71">
        <f>'Arrival to Regie'!AP15</f>
        <v>0</v>
      </c>
      <c r="L15" s="27">
        <f>'Arrival to Regie'!AU15</f>
        <v>163</v>
      </c>
      <c r="M15" s="27">
        <f>'Arrival to Regie'!AZ15</f>
        <v>0</v>
      </c>
      <c r="N15" s="27">
        <f>'Arrival to Regie'!BE15</f>
        <v>0</v>
      </c>
      <c r="O15" s="27">
        <f>'Arrival to Regie'!BJ15</f>
        <v>0</v>
      </c>
      <c r="P15" s="138">
        <f>SUM(D127:O127)</f>
        <v>0</v>
      </c>
      <c r="Q15" s="27">
        <f>'Arrival to Regie'!BP15</f>
        <v>284</v>
      </c>
      <c r="R15" s="27">
        <f>'Arrival to Regie'!BU15</f>
        <v>0</v>
      </c>
      <c r="S15" s="27">
        <f>'Arrival to Regie'!BZ15</f>
        <v>100</v>
      </c>
      <c r="T15" s="27">
        <f>'Arrival to Regie'!CE15</f>
        <v>0</v>
      </c>
      <c r="U15" s="27">
        <f>'Arrival to Regie'!CJ15</f>
        <v>0</v>
      </c>
      <c r="V15" s="27">
        <f>'Arrival to Regie'!CO15</f>
        <v>0</v>
      </c>
      <c r="W15" s="27">
        <f>'Arrival to Regie'!CT15</f>
        <v>0</v>
      </c>
      <c r="X15" s="27">
        <f>'Arrival to Regie'!CY15</f>
        <v>220</v>
      </c>
      <c r="Y15" s="27">
        <f>'Arrival to Regie'!DD15</f>
        <v>0</v>
      </c>
      <c r="Z15" s="27">
        <f>'Arrival to Regie'!DI15</f>
        <v>0</v>
      </c>
      <c r="AA15" s="27">
        <f>'Arrival to Regie'!DN15</f>
        <v>0</v>
      </c>
      <c r="AB15" s="27">
        <f>'Arrival to Regie'!DS15</f>
        <v>0</v>
      </c>
      <c r="AC15" s="26">
        <f t="shared" si="29"/>
        <v>604</v>
      </c>
      <c r="AD15" s="27">
        <f>'Arrival to Regie'!DY15</f>
        <v>150</v>
      </c>
      <c r="AE15" s="27">
        <f>'Arrival to Regie'!ED15</f>
        <v>75</v>
      </c>
      <c r="AF15" s="27">
        <f>'Arrival to Regie'!EI15</f>
        <v>51</v>
      </c>
      <c r="AG15" s="27">
        <f>'Arrival to Regie'!EN15</f>
        <v>61.2</v>
      </c>
      <c r="AH15" s="27">
        <f>'Arrival to Regie'!ES15</f>
        <v>61.2</v>
      </c>
      <c r="AI15" s="27">
        <f>'Arrival to Regie'!EX15</f>
        <v>61.2</v>
      </c>
      <c r="AJ15" s="27">
        <f>'Arrival to Regie'!FC15</f>
        <v>61.2</v>
      </c>
      <c r="AK15" s="27">
        <f>'Arrival to Regie'!FH15</f>
        <v>61.2</v>
      </c>
      <c r="AL15" s="27">
        <f>'Arrival to Regie'!FM15</f>
        <v>30.6</v>
      </c>
      <c r="AM15" s="27">
        <f>'Arrival to Regie'!FR15</f>
        <v>30.6</v>
      </c>
      <c r="AN15" s="27">
        <f>'Arrival to Regie'!FW15</f>
        <v>30.6</v>
      </c>
      <c r="AO15" s="27">
        <f>'Arrival to Regie'!GB15</f>
        <v>30.6</v>
      </c>
      <c r="AP15" s="26">
        <f t="shared" si="30"/>
        <v>704.40000000000009</v>
      </c>
    </row>
    <row r="16" spans="2:42" x14ac:dyDescent="0.35">
      <c r="B16" s="163"/>
      <c r="C16" s="47" t="s">
        <v>58</v>
      </c>
      <c r="D16" s="72">
        <f t="shared" ref="D16:AO16" si="31">D11+D12+D15-D13</f>
        <v>0</v>
      </c>
      <c r="E16" s="72">
        <f t="shared" si="31"/>
        <v>0</v>
      </c>
      <c r="F16" s="72">
        <f t="shared" si="31"/>
        <v>169</v>
      </c>
      <c r="G16" s="72">
        <f t="shared" si="31"/>
        <v>83</v>
      </c>
      <c r="H16" s="72">
        <f t="shared" si="31"/>
        <v>78</v>
      </c>
      <c r="I16" s="72">
        <f t="shared" si="31"/>
        <v>64</v>
      </c>
      <c r="J16" s="72">
        <f t="shared" si="31"/>
        <v>4</v>
      </c>
      <c r="K16" s="72">
        <f t="shared" si="31"/>
        <v>0</v>
      </c>
      <c r="L16" s="48">
        <f t="shared" si="31"/>
        <v>89</v>
      </c>
      <c r="M16" s="48">
        <f t="shared" si="31"/>
        <v>0</v>
      </c>
      <c r="N16" s="48">
        <f t="shared" si="31"/>
        <v>0</v>
      </c>
      <c r="O16" s="48">
        <f t="shared" si="31"/>
        <v>0</v>
      </c>
      <c r="P16" s="138"/>
      <c r="Q16" s="48">
        <f t="shared" si="31"/>
        <v>271</v>
      </c>
      <c r="R16" s="48">
        <f t="shared" si="31"/>
        <v>248</v>
      </c>
      <c r="S16" s="48">
        <f t="shared" si="31"/>
        <v>306</v>
      </c>
      <c r="T16" s="48">
        <f t="shared" si="31"/>
        <v>276</v>
      </c>
      <c r="U16" s="48">
        <f t="shared" si="31"/>
        <v>216</v>
      </c>
      <c r="V16" s="48">
        <f t="shared" si="31"/>
        <v>156</v>
      </c>
      <c r="W16" s="48">
        <f t="shared" si="31"/>
        <v>96</v>
      </c>
      <c r="X16" s="48">
        <f t="shared" si="31"/>
        <v>256</v>
      </c>
      <c r="Y16" s="48">
        <f t="shared" si="31"/>
        <v>196</v>
      </c>
      <c r="Z16" s="48">
        <f t="shared" si="31"/>
        <v>136</v>
      </c>
      <c r="AA16" s="48">
        <f t="shared" si="31"/>
        <v>76</v>
      </c>
      <c r="AB16" s="48">
        <f t="shared" si="31"/>
        <v>46</v>
      </c>
      <c r="AC16" s="26">
        <f t="shared" si="29"/>
        <v>2279</v>
      </c>
      <c r="AD16" s="48">
        <f t="shared" si="31"/>
        <v>2279</v>
      </c>
      <c r="AE16" s="48">
        <f t="shared" si="31"/>
        <v>2279</v>
      </c>
      <c r="AF16" s="48">
        <f t="shared" si="31"/>
        <v>2299.4</v>
      </c>
      <c r="AG16" s="48">
        <f t="shared" si="31"/>
        <v>2330</v>
      </c>
      <c r="AH16" s="48">
        <f t="shared" si="31"/>
        <v>2330</v>
      </c>
      <c r="AI16" s="48">
        <f t="shared" si="31"/>
        <v>2330</v>
      </c>
      <c r="AJ16" s="48">
        <f t="shared" si="31"/>
        <v>2330</v>
      </c>
      <c r="AK16" s="48">
        <f t="shared" si="31"/>
        <v>2330</v>
      </c>
      <c r="AL16" s="48">
        <f t="shared" si="31"/>
        <v>2299.4</v>
      </c>
      <c r="AM16" s="48">
        <f t="shared" si="31"/>
        <v>2268.8000000000002</v>
      </c>
      <c r="AN16" s="48">
        <f t="shared" si="31"/>
        <v>2238.2000000000003</v>
      </c>
      <c r="AO16" s="48">
        <f t="shared" si="31"/>
        <v>2238.2000000000003</v>
      </c>
      <c r="AP16" s="26">
        <f t="shared" si="30"/>
        <v>27552.000000000004</v>
      </c>
    </row>
    <row r="17" spans="2:42" ht="15" thickBot="1" x14ac:dyDescent="0.4">
      <c r="B17" s="164"/>
      <c r="C17" s="34" t="s">
        <v>59</v>
      </c>
      <c r="D17" s="35">
        <f>IF(D16=0,0,IFERROR((((D16)/(AVERAGE(E13:F13)))*4.3),"∞"))</f>
        <v>0</v>
      </c>
      <c r="E17" s="35">
        <f t="shared" ref="E17" si="32">IF(E16=0,0,IFERROR((((E16)/(AVERAGE(F13:G13)))*4.3),"∞"))</f>
        <v>0</v>
      </c>
      <c r="F17" s="35">
        <f t="shared" ref="F17" si="33">IF(F16=0,0,IFERROR((((F16)/(AVERAGE(G13:H13)))*4.3),"∞"))</f>
        <v>15.971428571428572</v>
      </c>
      <c r="G17" s="35">
        <f t="shared" ref="G17" si="34">IF(G16=0,0,IFERROR((((G16)/(AVERAGE(H13:I13)))*4.3),"∞"))</f>
        <v>37.568421052631578</v>
      </c>
      <c r="H17" s="35">
        <f t="shared" ref="H17" si="35">IF(H16=0,0,IFERROR((((H16)/(AVERAGE(I13:J13)))*4.3),"∞"))</f>
        <v>9.0648648648648642</v>
      </c>
      <c r="I17" s="35">
        <f t="shared" ref="I17" si="36">IF(I16=0,0,IFERROR((((I16)/(AVERAGE(J13:K13)))*4.3),"∞"))</f>
        <v>8.6</v>
      </c>
      <c r="J17" s="35">
        <f t="shared" ref="J17" si="37">IF(J16=0,0,IFERROR((((J16)/(AVERAGE(K13:L13)))*4.3),"∞"))</f>
        <v>0.44102564102564101</v>
      </c>
      <c r="K17" s="35">
        <f t="shared" ref="K17" si="38">IF(K16=0,0,IFERROR((((K16)/(AVERAGE(L13:M13)))*4.3),"∞"))</f>
        <v>0</v>
      </c>
      <c r="L17" s="35">
        <f t="shared" ref="L17" si="39">IF(L16=0,0,IFERROR((((L16)/(AVERAGE(M13:N13)))*4.3),"∞"))</f>
        <v>8.6</v>
      </c>
      <c r="M17" s="35">
        <f t="shared" ref="M17" si="40">IF(M16=0,0,IFERROR((((M16)/(AVERAGE(N13:O13)))*4.3),"∞"))</f>
        <v>0</v>
      </c>
      <c r="N17" s="35">
        <f>IF(N16=0,0,IFERROR((((N16)/(AVERAGE(O13,Q13)))*4.3),"∞"))</f>
        <v>0</v>
      </c>
      <c r="O17" s="35">
        <f>IF(O16=0,0,IFERROR((((O16)/(AVERAGE(P13,R13)))*4.3),"∞"))</f>
        <v>0</v>
      </c>
      <c r="P17" s="140"/>
      <c r="Q17" s="35">
        <f t="shared" ref="Q17:R17" si="41">IF(Q16=0,0,IFERROR((((Q16)/(AVERAGE(R13:S13)))*4.3),"∞"))</f>
        <v>35.855384615384615</v>
      </c>
      <c r="R17" s="35">
        <f t="shared" si="41"/>
        <v>29.622222222222224</v>
      </c>
      <c r="S17" s="35">
        <f t="shared" ref="S17" si="42">IF(S16=0,0,IFERROR((((S16)/(AVERAGE(T13:U13)))*4.3),"∞"))</f>
        <v>29.24</v>
      </c>
      <c r="T17" s="35">
        <f t="shared" ref="T17" si="43">IF(T16=0,0,IFERROR((((T16)/(AVERAGE(U13:V13)))*4.3),"∞"))</f>
        <v>19.779999999999998</v>
      </c>
      <c r="U17" s="35">
        <f t="shared" ref="U17" si="44">IF(U16=0,0,IFERROR((((U16)/(AVERAGE(V13:W13)))*4.3),"∞"))</f>
        <v>15.48</v>
      </c>
      <c r="V17" s="35">
        <f>IF(V16=0,0,IFERROR((((V16)/(AVERAGE(W13:X13)))*4.3),"∞"))</f>
        <v>11.18</v>
      </c>
      <c r="W17" s="35">
        <f t="shared" ref="W17" si="45">IF(W16=0,0,IFERROR((((W16)/(AVERAGE(X13:Y13)))*4.3),"∞"))</f>
        <v>6.88</v>
      </c>
      <c r="X17" s="35">
        <f t="shared" ref="X17" si="46">IF(X16=0,0,IFERROR((((X16)/(AVERAGE(Y13:Z13)))*4.3),"∞"))</f>
        <v>18.346666666666664</v>
      </c>
      <c r="Y17" s="35">
        <f t="shared" ref="Y17" si="47">IF(Y16=0,0,IFERROR((((Y16)/(AVERAGE(Z13:AA13)))*4.3),"∞"))</f>
        <v>14.046666666666665</v>
      </c>
      <c r="Z17" s="35">
        <f t="shared" ref="Z17" si="48">IF(Z16=0,0,IFERROR((((Z16)/(AVERAGE(AA13:AB13)))*4.3),"∞"))</f>
        <v>12.995555555555555</v>
      </c>
      <c r="AA17" s="35">
        <f>IF(AA16=0,0,IFERROR((((AA16)/(AVERAGE(AB13,AD13)))*4.3),"∞"))</f>
        <v>3.6311111111111107</v>
      </c>
      <c r="AB17" s="35">
        <f>IF(AB16=0,0,IFERROR((((AB16)/(AVERAGE(AD13:AE13)))*4.3),"∞"))</f>
        <v>1.7582222222222224</v>
      </c>
      <c r="AC17" s="36"/>
      <c r="AD17" s="35">
        <f t="shared" ref="AD17" si="49">IF(AD16=0,0,IFERROR((((AD16)/(AVERAGE(AE13:AF13)))*4.3),"∞"))</f>
        <v>185.60037878787878</v>
      </c>
      <c r="AE17" s="35">
        <f t="shared" ref="AE17" si="50">IF(AE16=0,0,IFERROR((((AE16)/(AVERAGE(AF13:AG13)))*4.3),"∞"))</f>
        <v>320.25163398692808</v>
      </c>
      <c r="AF17" s="35">
        <f t="shared" ref="AF17" si="51">IF(AF16=0,0,IFERROR((((AF16)/(AVERAGE(AG13:AH13)))*4.3),"∞"))</f>
        <v>215.41220043572983</v>
      </c>
      <c r="AG17" s="35">
        <f t="shared" ref="AG17" si="52">IF(AG16=0,0,IFERROR((((AG16)/(AVERAGE(AH13:AI13)))*4.3),"∞"))</f>
        <v>163.70915032679736</v>
      </c>
      <c r="AH17" s="35">
        <f t="shared" ref="AH17" si="53">IF(AH16=0,0,IFERROR((((AH16)/(AVERAGE(AI13:AJ13)))*4.3),"∞"))</f>
        <v>163.70915032679736</v>
      </c>
      <c r="AI17" s="35">
        <f>IF(AI16=0,0,IFERROR((((AI16)/(AVERAGE(AJ13:AK13)))*4.3),"∞"))</f>
        <v>163.70915032679736</v>
      </c>
      <c r="AJ17" s="35">
        <f t="shared" ref="AJ17" si="54">IF(AJ16=0,0,IFERROR((((AJ16)/(AVERAGE(AK13:AL13)))*4.3),"∞"))</f>
        <v>163.70915032679736</v>
      </c>
      <c r="AK17" s="35">
        <f t="shared" ref="AK17" si="55">IF(AK16=0,0,IFERROR((((AK16)/(AVERAGE(AL13:AM13)))*4.3),"∞"))</f>
        <v>163.70915032679736</v>
      </c>
      <c r="AL17" s="35">
        <f t="shared" ref="AL17" si="56">IF(AL16=0,0,IFERROR((((AL16)/(AVERAGE(AM13:AN13)))*4.3),"∞"))</f>
        <v>161.55915032679735</v>
      </c>
      <c r="AM17" s="35">
        <f t="shared" ref="AM17" si="57">IF(AM16=0,0,IFERROR((((AM16)/(AVERAGE(AN13:AO13)))*4.3),"∞"))</f>
        <v>212.54553376906318</v>
      </c>
      <c r="AN17" s="35">
        <f>IF(AN16=0,0,IFERROR((((AN16)/(AVERAGE(AO13,AQ13)))*4.3),"∞"))</f>
        <v>314.51830065359479</v>
      </c>
      <c r="AO17" s="35" t="str">
        <f>IF(AO16=0,0,IFERROR((((AO16)/(AVERAGE(AQ13:AR13)))*4.3),"∞"))</f>
        <v>∞</v>
      </c>
      <c r="AP17" s="36"/>
    </row>
    <row r="18" spans="2:42" s="23" customFormat="1" x14ac:dyDescent="0.35">
      <c r="B18" s="22"/>
      <c r="D18" s="74"/>
      <c r="E18" s="74"/>
      <c r="F18" s="74"/>
      <c r="G18" s="74"/>
      <c r="H18" s="74"/>
      <c r="I18" s="74"/>
      <c r="J18" s="74"/>
      <c r="K18" s="74"/>
      <c r="L18" s="24"/>
      <c r="M18" s="24"/>
      <c r="N18" s="24"/>
      <c r="O18" s="24"/>
      <c r="P18" s="25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5"/>
    </row>
    <row r="19" spans="2:42" ht="14.5" hidden="1" customHeight="1" x14ac:dyDescent="0.35">
      <c r="B19" s="162" t="str">
        <f>'IMS vs FRCST'!B15</f>
        <v>Al Fakher Buble Gum 50g</v>
      </c>
      <c r="C19" s="21" t="s">
        <v>53</v>
      </c>
      <c r="D19" s="70">
        <v>69</v>
      </c>
      <c r="E19" s="70">
        <f t="shared" ref="E19" si="58">D24</f>
        <v>69</v>
      </c>
      <c r="F19" s="70">
        <f t="shared" ref="F19:O19" si="59">E24</f>
        <v>68</v>
      </c>
      <c r="G19" s="70">
        <f t="shared" si="59"/>
        <v>68</v>
      </c>
      <c r="H19" s="70">
        <f t="shared" si="59"/>
        <v>67</v>
      </c>
      <c r="I19" s="70">
        <f t="shared" si="59"/>
        <v>67</v>
      </c>
      <c r="J19" s="70">
        <f t="shared" si="59"/>
        <v>66</v>
      </c>
      <c r="K19" s="70">
        <f t="shared" si="59"/>
        <v>66</v>
      </c>
      <c r="L19" s="32">
        <f t="shared" si="59"/>
        <v>66</v>
      </c>
      <c r="M19" s="32">
        <f t="shared" si="59"/>
        <v>65</v>
      </c>
      <c r="N19" s="32">
        <f t="shared" si="59"/>
        <v>41</v>
      </c>
      <c r="O19" s="32">
        <f t="shared" si="59"/>
        <v>38</v>
      </c>
      <c r="P19" s="33"/>
      <c r="Q19" s="32">
        <f>O24</f>
        <v>38</v>
      </c>
      <c r="R19" s="32">
        <f t="shared" ref="R19:AB19" si="60">Q24</f>
        <v>36</v>
      </c>
      <c r="S19" s="32">
        <f t="shared" si="60"/>
        <v>31</v>
      </c>
      <c r="T19" s="32">
        <f t="shared" si="60"/>
        <v>31</v>
      </c>
      <c r="U19" s="32">
        <f t="shared" si="60"/>
        <v>31</v>
      </c>
      <c r="V19" s="32">
        <f t="shared" si="60"/>
        <v>31</v>
      </c>
      <c r="W19" s="32">
        <f t="shared" si="60"/>
        <v>31</v>
      </c>
      <c r="X19" s="32">
        <f t="shared" si="60"/>
        <v>31</v>
      </c>
      <c r="Y19" s="32">
        <f t="shared" si="60"/>
        <v>31</v>
      </c>
      <c r="Z19" s="32">
        <f t="shared" si="60"/>
        <v>31</v>
      </c>
      <c r="AA19" s="32">
        <f t="shared" si="60"/>
        <v>31</v>
      </c>
      <c r="AB19" s="32">
        <f t="shared" si="60"/>
        <v>31</v>
      </c>
      <c r="AC19" s="33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3"/>
    </row>
    <row r="20" spans="2:42" hidden="1" x14ac:dyDescent="0.35">
      <c r="B20" s="163"/>
      <c r="C20" s="4" t="s">
        <v>54</v>
      </c>
      <c r="D20" s="71"/>
      <c r="E20" s="71"/>
      <c r="F20" s="71"/>
      <c r="G20" s="71"/>
      <c r="H20" s="71"/>
      <c r="I20" s="71"/>
      <c r="J20" s="71"/>
      <c r="K20" s="71"/>
      <c r="L20" s="27"/>
      <c r="M20" s="27"/>
      <c r="N20" s="27"/>
      <c r="O20" s="27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6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6"/>
    </row>
    <row r="21" spans="2:42" s="6" customFormat="1" hidden="1" x14ac:dyDescent="0.35">
      <c r="B21" s="163"/>
      <c r="C21" s="42" t="s">
        <v>55</v>
      </c>
      <c r="D21" s="44">
        <f>'IMS vs FRCST'!C15</f>
        <v>0</v>
      </c>
      <c r="E21" s="44">
        <f>'IMS vs FRCST'!D15</f>
        <v>1</v>
      </c>
      <c r="F21" s="44">
        <f>'IMS vs FRCST'!E15</f>
        <v>0</v>
      </c>
      <c r="G21" s="44">
        <f>'IMS vs FRCST'!F15</f>
        <v>1</v>
      </c>
      <c r="H21" s="44">
        <f>'IMS vs FRCST'!G15</f>
        <v>0</v>
      </c>
      <c r="I21" s="44">
        <f>'IMS vs FRCST'!H15</f>
        <v>1</v>
      </c>
      <c r="J21" s="44">
        <f>'IMS vs FRCST'!I15</f>
        <v>0</v>
      </c>
      <c r="K21" s="44">
        <f>'IMS vs FRCST'!J15</f>
        <v>0</v>
      </c>
      <c r="L21" s="43">
        <f>'IMS vs FRCST'!K15</f>
        <v>1</v>
      </c>
      <c r="M21" s="43">
        <f>'IMS vs FRCST'!L15</f>
        <v>24</v>
      </c>
      <c r="N21" s="43">
        <f>'IMS vs FRCST'!M15</f>
        <v>3</v>
      </c>
      <c r="O21" s="43">
        <f>'IMS vs FRCST'!N15</f>
        <v>0</v>
      </c>
      <c r="P21" s="26">
        <f>SUM(D21:O21)</f>
        <v>31</v>
      </c>
      <c r="Q21" s="28">
        <f>'IMS vs FRCST'!P15</f>
        <v>2</v>
      </c>
      <c r="R21" s="28">
        <f>'IMS vs FRCST'!Q15</f>
        <v>5</v>
      </c>
      <c r="S21" s="28">
        <f>'IMS vs FRCST'!R15</f>
        <v>0</v>
      </c>
      <c r="T21" s="28">
        <f>'IMS vs FRCST'!S15</f>
        <v>0</v>
      </c>
      <c r="U21" s="28">
        <f>'IMS vs FRCST'!T15</f>
        <v>0</v>
      </c>
      <c r="V21" s="28">
        <f>'IMS vs FRCST'!U15</f>
        <v>0</v>
      </c>
      <c r="W21" s="28">
        <f>'IMS vs FRCST'!V15</f>
        <v>0</v>
      </c>
      <c r="X21" s="28">
        <f>'IMS vs FRCST'!W15</f>
        <v>0</v>
      </c>
      <c r="Y21" s="28">
        <f>'IMS vs FRCST'!X15</f>
        <v>0</v>
      </c>
      <c r="Z21" s="28">
        <f>'IMS vs FRCST'!Y15</f>
        <v>0</v>
      </c>
      <c r="AA21" s="28">
        <f>'IMS vs FRCST'!Z15</f>
        <v>0</v>
      </c>
      <c r="AB21" s="28">
        <f>'IMS vs FRCST'!AA15</f>
        <v>0</v>
      </c>
      <c r="AC21" s="26">
        <f>SUM(Q21:AB21)</f>
        <v>7</v>
      </c>
      <c r="AD21" s="28">
        <f>'IMS vs FRCST'!AC15</f>
        <v>0</v>
      </c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6">
        <f>SUM(AD21:AO21)</f>
        <v>0</v>
      </c>
    </row>
    <row r="22" spans="2:42" hidden="1" x14ac:dyDescent="0.35">
      <c r="B22" s="163"/>
      <c r="C22" s="4" t="s">
        <v>56</v>
      </c>
      <c r="D22" s="71">
        <f>'Shipment (Production)'!G16</f>
        <v>0</v>
      </c>
      <c r="E22" s="71">
        <f>'Shipment (Production)'!L16</f>
        <v>0</v>
      </c>
      <c r="F22" s="71">
        <f>'Shipment (Production)'!Q16</f>
        <v>0</v>
      </c>
      <c r="G22" s="71">
        <f>'Shipment (Production)'!V16</f>
        <v>0</v>
      </c>
      <c r="H22" s="71">
        <f>'Shipment (Production)'!AA16</f>
        <v>0</v>
      </c>
      <c r="I22" s="71">
        <f>'Shipment (Production)'!AF16</f>
        <v>0</v>
      </c>
      <c r="J22" s="71">
        <f>'Shipment (Production)'!AK16</f>
        <v>0</v>
      </c>
      <c r="K22" s="71">
        <f>'Shipment (Production)'!AP16</f>
        <v>0</v>
      </c>
      <c r="L22" s="27">
        <f>'Shipment (Production)'!AU16</f>
        <v>0</v>
      </c>
      <c r="M22" s="27">
        <f>'Shipment (Production)'!AZ16</f>
        <v>0</v>
      </c>
      <c r="N22" s="27">
        <f>'Shipment (Production)'!BE16</f>
        <v>0</v>
      </c>
      <c r="O22" s="27">
        <f>'Shipment (Production)'!BJ16</f>
        <v>0</v>
      </c>
      <c r="P22" s="26">
        <f>SUM(D22:O22)</f>
        <v>0</v>
      </c>
      <c r="Q22" s="27">
        <f>'Shipment (Production)'!BP16</f>
        <v>0</v>
      </c>
      <c r="R22" s="27">
        <f>'Shipment (Production)'!BU16</f>
        <v>0</v>
      </c>
      <c r="S22" s="27">
        <f>'Shipment (Production)'!BZ16</f>
        <v>0</v>
      </c>
      <c r="T22" s="27">
        <f>'Shipment (Production)'!CE16</f>
        <v>0</v>
      </c>
      <c r="U22" s="27">
        <f>'Shipment (Production)'!CJ16</f>
        <v>0</v>
      </c>
      <c r="V22" s="27">
        <f>'Shipment (Production)'!CO16</f>
        <v>0</v>
      </c>
      <c r="W22" s="27">
        <f>'Shipment (Production)'!CT16</f>
        <v>0</v>
      </c>
      <c r="X22" s="27">
        <f>'Shipment (Production)'!CY16</f>
        <v>0</v>
      </c>
      <c r="Y22" s="27">
        <f>'Shipment (Production)'!DD16</f>
        <v>0</v>
      </c>
      <c r="Z22" s="27">
        <f>'Shipment (Production)'!DI16</f>
        <v>0</v>
      </c>
      <c r="AA22" s="27">
        <f>'Shipment (Production)'!DN16</f>
        <v>0</v>
      </c>
      <c r="AB22" s="27">
        <f>'Shipment (Production)'!DS16</f>
        <v>0</v>
      </c>
      <c r="AC22" s="26">
        <f>SUM(Q22:AB22)</f>
        <v>0</v>
      </c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6">
        <f>SUM(AD22:AO22)</f>
        <v>0</v>
      </c>
    </row>
    <row r="23" spans="2:42" hidden="1" x14ac:dyDescent="0.35">
      <c r="B23" s="163"/>
      <c r="C23" s="4" t="s">
        <v>57</v>
      </c>
      <c r="D23" s="71">
        <f>'Arrival to Regie'!G16</f>
        <v>0</v>
      </c>
      <c r="E23" s="71">
        <f>'Arrival to Regie'!L16</f>
        <v>0</v>
      </c>
      <c r="F23" s="71">
        <f>'Arrival to Regie'!Q16</f>
        <v>0</v>
      </c>
      <c r="G23" s="71">
        <f>'Arrival to Regie'!V16</f>
        <v>0</v>
      </c>
      <c r="H23" s="71">
        <f>'Arrival to Regie'!AA16</f>
        <v>0</v>
      </c>
      <c r="I23" s="71">
        <f>'Arrival to Regie'!AF16</f>
        <v>0</v>
      </c>
      <c r="J23" s="71">
        <f>'Arrival to Regie'!AK16</f>
        <v>0</v>
      </c>
      <c r="K23" s="71">
        <f>'Arrival to Regie'!AP16</f>
        <v>0</v>
      </c>
      <c r="L23" s="27">
        <f>'Arrival to Regie'!AU16</f>
        <v>0</v>
      </c>
      <c r="M23" s="27">
        <f>'Arrival to Regie'!AZ16</f>
        <v>0</v>
      </c>
      <c r="N23" s="27">
        <f>'Arrival to Regie'!BE16</f>
        <v>0</v>
      </c>
      <c r="O23" s="27">
        <f>'Arrival to Regie'!BJ16</f>
        <v>0</v>
      </c>
      <c r="P23" s="26">
        <f>SUM(D23:O23)</f>
        <v>0</v>
      </c>
      <c r="Q23" s="27">
        <f>'Arrival to Regie'!BP16</f>
        <v>0</v>
      </c>
      <c r="R23" s="27">
        <f>'Arrival to Regie'!BU16</f>
        <v>0</v>
      </c>
      <c r="S23" s="27">
        <f>'Arrival to Regie'!BZ16</f>
        <v>0</v>
      </c>
      <c r="T23" s="27">
        <f>'Arrival to Regie'!CE16</f>
        <v>0</v>
      </c>
      <c r="U23" s="27">
        <f>'Arrival to Regie'!CJ16</f>
        <v>0</v>
      </c>
      <c r="V23" s="27">
        <f>'Arrival to Regie'!CO16</f>
        <v>0</v>
      </c>
      <c r="W23" s="27">
        <f>'Arrival to Regie'!CT16</f>
        <v>0</v>
      </c>
      <c r="X23" s="27">
        <f>'Arrival to Regie'!CY16</f>
        <v>0</v>
      </c>
      <c r="Y23" s="27">
        <f>'Arrival to Regie'!DD16</f>
        <v>0</v>
      </c>
      <c r="Z23" s="27">
        <f>'Arrival to Regie'!DI16</f>
        <v>0</v>
      </c>
      <c r="AA23" s="27">
        <f>'Arrival to Regie'!DN16</f>
        <v>0</v>
      </c>
      <c r="AB23" s="27">
        <f>'Arrival to Regie'!DS16</f>
        <v>0</v>
      </c>
      <c r="AC23" s="26">
        <f>SUM(Q23:AB23)</f>
        <v>0</v>
      </c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6">
        <f>SUM(AD23:AO23)</f>
        <v>0</v>
      </c>
    </row>
    <row r="24" spans="2:42" hidden="1" x14ac:dyDescent="0.35">
      <c r="B24" s="163"/>
      <c r="C24" s="47" t="s">
        <v>58</v>
      </c>
      <c r="D24" s="72">
        <f t="shared" ref="D24:AB24" si="61">D19+D20+D23-D21</f>
        <v>69</v>
      </c>
      <c r="E24" s="72">
        <f t="shared" si="61"/>
        <v>68</v>
      </c>
      <c r="F24" s="72">
        <f t="shared" si="61"/>
        <v>68</v>
      </c>
      <c r="G24" s="72">
        <f t="shared" si="61"/>
        <v>67</v>
      </c>
      <c r="H24" s="72">
        <f t="shared" si="61"/>
        <v>67</v>
      </c>
      <c r="I24" s="72">
        <f t="shared" si="61"/>
        <v>66</v>
      </c>
      <c r="J24" s="72">
        <f t="shared" si="61"/>
        <v>66</v>
      </c>
      <c r="K24" s="72">
        <f t="shared" si="61"/>
        <v>66</v>
      </c>
      <c r="L24" s="48">
        <f t="shared" si="61"/>
        <v>65</v>
      </c>
      <c r="M24" s="48">
        <f t="shared" si="61"/>
        <v>41</v>
      </c>
      <c r="N24" s="48">
        <f t="shared" si="61"/>
        <v>38</v>
      </c>
      <c r="O24" s="48">
        <f t="shared" si="61"/>
        <v>38</v>
      </c>
      <c r="P24" s="26"/>
      <c r="Q24" s="48">
        <f t="shared" si="61"/>
        <v>36</v>
      </c>
      <c r="R24" s="48">
        <f t="shared" si="61"/>
        <v>31</v>
      </c>
      <c r="S24" s="48">
        <f t="shared" si="61"/>
        <v>31</v>
      </c>
      <c r="T24" s="48">
        <f t="shared" si="61"/>
        <v>31</v>
      </c>
      <c r="U24" s="48">
        <f t="shared" si="61"/>
        <v>31</v>
      </c>
      <c r="V24" s="48">
        <f t="shared" si="61"/>
        <v>31</v>
      </c>
      <c r="W24" s="48">
        <f t="shared" si="61"/>
        <v>31</v>
      </c>
      <c r="X24" s="48">
        <f t="shared" si="61"/>
        <v>31</v>
      </c>
      <c r="Y24" s="48">
        <f t="shared" si="61"/>
        <v>31</v>
      </c>
      <c r="Z24" s="48">
        <f t="shared" si="61"/>
        <v>31</v>
      </c>
      <c r="AA24" s="48">
        <f t="shared" si="61"/>
        <v>31</v>
      </c>
      <c r="AB24" s="48">
        <f t="shared" si="61"/>
        <v>31</v>
      </c>
      <c r="AC24" s="26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26"/>
    </row>
    <row r="25" spans="2:42" ht="15" hidden="1" thickBot="1" x14ac:dyDescent="0.4">
      <c r="B25" s="164"/>
      <c r="C25" s="34" t="s">
        <v>59</v>
      </c>
      <c r="D25" s="35">
        <f>IF(D24=0,0,IFERROR((((D24)/(AVERAGE(E21:F21)))*4.3),"∞"))</f>
        <v>593.4</v>
      </c>
      <c r="E25" s="35">
        <f t="shared" ref="E25" si="62">IF(E24=0,0,IFERROR((((E24)/(AVERAGE(F21:G21)))*4.3),"∞"))</f>
        <v>584.79999999999995</v>
      </c>
      <c r="F25" s="35">
        <f t="shared" ref="F25" si="63">IF(F24=0,0,IFERROR((((F24)/(AVERAGE(G21:H21)))*4.3),"∞"))</f>
        <v>584.79999999999995</v>
      </c>
      <c r="G25" s="35">
        <f t="shared" ref="G25" si="64">IF(G24=0,0,IFERROR((((G24)/(AVERAGE(H21:I21)))*4.3),"∞"))</f>
        <v>576.19999999999993</v>
      </c>
      <c r="H25" s="35">
        <f t="shared" ref="H25" si="65">IF(H24=0,0,IFERROR((((H24)/(AVERAGE(I21:J21)))*4.3),"∞"))</f>
        <v>576.19999999999993</v>
      </c>
      <c r="I25" s="35" t="str">
        <f t="shared" ref="I25" si="66">IF(I24=0,0,IFERROR((((I24)/(AVERAGE(J21:K21)))*4.3),"∞"))</f>
        <v>∞</v>
      </c>
      <c r="J25" s="35">
        <f t="shared" ref="J25" si="67">IF(J24=0,0,IFERROR((((J24)/(AVERAGE(K21:L21)))*4.3),"∞"))</f>
        <v>567.6</v>
      </c>
      <c r="K25" s="35">
        <f t="shared" ref="K25" si="68">IF(K24=0,0,IFERROR((((K24)/(AVERAGE(L21:M21)))*4.3),"∞"))</f>
        <v>22.704000000000001</v>
      </c>
      <c r="L25" s="35">
        <f t="shared" ref="L25" si="69">IF(L24=0,0,IFERROR((((L24)/(AVERAGE(M21:N21)))*4.3),"∞"))</f>
        <v>20.703703703703702</v>
      </c>
      <c r="M25" s="35">
        <f t="shared" ref="M25" si="70">IF(M24=0,0,IFERROR((((M24)/(AVERAGE(N21:O21)))*4.3),"∞"))</f>
        <v>117.53333333333332</v>
      </c>
      <c r="N25" s="35">
        <f>IF(N24=0,0,IFERROR((((N24)/(AVERAGE(O21,Q21)))*4.3),"∞"))</f>
        <v>163.4</v>
      </c>
      <c r="O25" s="35">
        <f>IF(O24=0,0,IFERROR((((O24)/(AVERAGE(Q21:R21)))*4.3),"∞"))</f>
        <v>46.685714285714283</v>
      </c>
      <c r="P25" s="36"/>
      <c r="Q25" s="35">
        <f>IF(Q24=0,0,IFERROR((((Q24)/(AVERAGE(R21:S21)))*4.3),"∞"))</f>
        <v>61.92</v>
      </c>
      <c r="R25" s="35" t="str">
        <f t="shared" ref="R25" si="71">IF(R24=0,0,IFERROR((((R24)/(AVERAGE(S21:T21)))*4.3),"∞"))</f>
        <v>∞</v>
      </c>
      <c r="S25" s="35" t="str">
        <f t="shared" ref="S25" si="72">IF(S24=0,0,IFERROR((((S24)/(AVERAGE(T21:U21)))*4.3),"∞"))</f>
        <v>∞</v>
      </c>
      <c r="T25" s="35" t="str">
        <f t="shared" ref="T25" si="73">IF(T24=0,0,IFERROR((((T24)/(AVERAGE(U21:V21)))*4.3),"∞"))</f>
        <v>∞</v>
      </c>
      <c r="U25" s="35" t="str">
        <f t="shared" ref="U25" si="74">IF(U24=0,0,IFERROR((((U24)/(AVERAGE(V21:W21)))*4.3),"∞"))</f>
        <v>∞</v>
      </c>
      <c r="V25" s="35" t="str">
        <f t="shared" ref="V25" si="75">IF(V24=0,0,IFERROR((((V24)/(AVERAGE(W21:X21)))*4.3),"∞"))</f>
        <v>∞</v>
      </c>
      <c r="W25" s="35" t="str">
        <f t="shared" ref="W25" si="76">IF(W24=0,0,IFERROR((((W24)/(AVERAGE(X21:Y21)))*4.3),"∞"))</f>
        <v>∞</v>
      </c>
      <c r="X25" s="35" t="str">
        <f t="shared" ref="X25" si="77">IF(X24=0,0,IFERROR((((X24)/(AVERAGE(Y21:Z21)))*4.3),"∞"))</f>
        <v>∞</v>
      </c>
      <c r="Y25" s="35" t="str">
        <f t="shared" ref="Y25" si="78">IF(Y24=0,0,IFERROR((((Y24)/(AVERAGE(Z21:AA21)))*4.3),"∞"))</f>
        <v>∞</v>
      </c>
      <c r="Z25" s="35" t="str">
        <f t="shared" ref="Z25" si="79">IF(Z24=0,0,IFERROR((((Z24)/(AVERAGE(AA21:AB21)))*4.3),"∞"))</f>
        <v>∞</v>
      </c>
      <c r="AA25" s="35" t="str">
        <f>IF(AA24=0,0,IFERROR((((AA24)/(AVERAGE(AB21,AD21)))*4.3),"∞"))</f>
        <v>∞</v>
      </c>
      <c r="AB25" s="35" t="str">
        <f>IF(AB24=0,0,IFERROR((((AB24)/(AVERAGE(AD21:AE21)))*4.3),"∞"))</f>
        <v>∞</v>
      </c>
      <c r="AC25" s="36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6"/>
    </row>
    <row r="26" spans="2:42" s="23" customFormat="1" ht="15" thickBot="1" x14ac:dyDescent="0.4">
      <c r="B26" s="22"/>
      <c r="D26" s="74"/>
      <c r="E26" s="74"/>
      <c r="F26" s="74"/>
      <c r="G26" s="74"/>
      <c r="H26" s="74"/>
      <c r="I26" s="74"/>
      <c r="J26" s="74"/>
      <c r="K26" s="74"/>
      <c r="L26" s="24"/>
      <c r="M26" s="24"/>
      <c r="N26" s="24"/>
      <c r="O26" s="24"/>
      <c r="P26" s="25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5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5"/>
    </row>
    <row r="27" spans="2:42" ht="14.5" customHeight="1" x14ac:dyDescent="0.35">
      <c r="B27" s="162" t="str">
        <f>'IMS vs FRCST'!B16</f>
        <v>Al Fakher Grapes &amp; Mint 50g</v>
      </c>
      <c r="C27" s="21" t="s">
        <v>53</v>
      </c>
      <c r="D27" s="70">
        <v>243</v>
      </c>
      <c r="E27" s="70">
        <f t="shared" ref="E27" si="80">D32</f>
        <v>19</v>
      </c>
      <c r="F27" s="70">
        <f t="shared" ref="F27:O27" si="81">E32</f>
        <v>106</v>
      </c>
      <c r="G27" s="70">
        <f t="shared" si="81"/>
        <v>543</v>
      </c>
      <c r="H27" s="70">
        <f t="shared" si="81"/>
        <v>387</v>
      </c>
      <c r="I27" s="70">
        <f t="shared" si="81"/>
        <v>281</v>
      </c>
      <c r="J27" s="70">
        <f t="shared" si="81"/>
        <v>89</v>
      </c>
      <c r="K27" s="70">
        <f t="shared" si="81"/>
        <v>314</v>
      </c>
      <c r="L27" s="32">
        <f t="shared" si="81"/>
        <v>702</v>
      </c>
      <c r="M27" s="32">
        <f t="shared" si="81"/>
        <v>646</v>
      </c>
      <c r="N27" s="32">
        <f t="shared" si="81"/>
        <v>257</v>
      </c>
      <c r="O27" s="32">
        <f t="shared" si="81"/>
        <v>328</v>
      </c>
      <c r="P27" s="33"/>
      <c r="Q27" s="32">
        <f>O32</f>
        <v>485</v>
      </c>
      <c r="R27" s="32">
        <f t="shared" ref="R27:AB27" si="82">Q32</f>
        <v>262</v>
      </c>
      <c r="S27" s="32">
        <f t="shared" si="82"/>
        <v>179</v>
      </c>
      <c r="T27" s="32">
        <f t="shared" si="82"/>
        <v>599</v>
      </c>
      <c r="U27" s="32">
        <f t="shared" si="82"/>
        <v>356</v>
      </c>
      <c r="V27" s="32">
        <f t="shared" si="82"/>
        <v>217</v>
      </c>
      <c r="W27" s="32">
        <f t="shared" si="82"/>
        <v>247</v>
      </c>
      <c r="X27" s="32">
        <f t="shared" si="82"/>
        <v>277</v>
      </c>
      <c r="Y27" s="32">
        <f t="shared" si="82"/>
        <v>257</v>
      </c>
      <c r="Z27" s="32">
        <f t="shared" si="82"/>
        <v>307</v>
      </c>
      <c r="AA27" s="32">
        <f t="shared" si="82"/>
        <v>307</v>
      </c>
      <c r="AB27" s="32">
        <f t="shared" si="82"/>
        <v>307</v>
      </c>
      <c r="AC27" s="33"/>
      <c r="AD27" s="32">
        <f>AB32</f>
        <v>407</v>
      </c>
      <c r="AE27" s="32">
        <f t="shared" ref="AE27" si="83">AD32</f>
        <v>407</v>
      </c>
      <c r="AF27" s="32">
        <f t="shared" ref="AF27" si="84">AE32</f>
        <v>407</v>
      </c>
      <c r="AG27" s="32">
        <f t="shared" ref="AG27" si="85">AF32</f>
        <v>407</v>
      </c>
      <c r="AH27" s="32">
        <f t="shared" ref="AH27" si="86">AG32</f>
        <v>465.14</v>
      </c>
      <c r="AI27" s="32">
        <f t="shared" ref="AI27" si="87">AH32</f>
        <v>578.36</v>
      </c>
      <c r="AJ27" s="32">
        <f t="shared" ref="AJ27" si="88">AI32</f>
        <v>557.96</v>
      </c>
      <c r="AK27" s="32">
        <f t="shared" ref="AK27" si="89">AJ32</f>
        <v>537.56000000000006</v>
      </c>
      <c r="AL27" s="32">
        <f t="shared" ref="AL27" si="90">AK32</f>
        <v>517.16000000000008</v>
      </c>
      <c r="AM27" s="32">
        <f t="shared" ref="AM27" si="91">AL32</f>
        <v>415.16000000000008</v>
      </c>
      <c r="AN27" s="32">
        <f t="shared" ref="AN27" si="92">AM32</f>
        <v>313.16000000000008</v>
      </c>
      <c r="AO27" s="32">
        <f t="shared" ref="AO27" si="93">AN32</f>
        <v>262.16000000000008</v>
      </c>
      <c r="AP27" s="33"/>
    </row>
    <row r="28" spans="2:42" x14ac:dyDescent="0.35">
      <c r="B28" s="163"/>
      <c r="C28" s="4" t="s">
        <v>54</v>
      </c>
      <c r="D28" s="71"/>
      <c r="E28" s="71"/>
      <c r="F28" s="71"/>
      <c r="G28" s="71"/>
      <c r="H28" s="71"/>
      <c r="I28" s="71"/>
      <c r="J28" s="71"/>
      <c r="K28" s="71"/>
      <c r="L28" s="27"/>
      <c r="M28" s="27"/>
      <c r="N28" s="27"/>
      <c r="O28" s="27"/>
      <c r="P28" s="26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6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6"/>
    </row>
    <row r="29" spans="2:42" s="6" customFormat="1" x14ac:dyDescent="0.35">
      <c r="B29" s="163"/>
      <c r="C29" s="42" t="s">
        <v>55</v>
      </c>
      <c r="D29" s="44">
        <f>'IMS vs FRCST'!C16</f>
        <v>224</v>
      </c>
      <c r="E29" s="44">
        <f>'IMS vs FRCST'!D16</f>
        <v>19</v>
      </c>
      <c r="F29" s="44">
        <f>'IMS vs FRCST'!E16</f>
        <v>241</v>
      </c>
      <c r="G29" s="44">
        <f>'IMS vs FRCST'!F16</f>
        <v>156</v>
      </c>
      <c r="H29" s="44">
        <f>'IMS vs FRCST'!G16</f>
        <v>106</v>
      </c>
      <c r="I29" s="44">
        <f>'IMS vs FRCST'!H16</f>
        <v>192</v>
      </c>
      <c r="J29" s="44">
        <f>'IMS vs FRCST'!I16</f>
        <v>188</v>
      </c>
      <c r="K29" s="44">
        <f>'IMS vs FRCST'!J16</f>
        <v>213</v>
      </c>
      <c r="L29" s="43">
        <f>'IMS vs FRCST'!K16</f>
        <v>390</v>
      </c>
      <c r="M29" s="43">
        <f>'IMS vs FRCST'!L16</f>
        <v>389</v>
      </c>
      <c r="N29" s="43">
        <f>'IMS vs FRCST'!M16</f>
        <v>210</v>
      </c>
      <c r="O29" s="43">
        <f>'IMS vs FRCST'!N16</f>
        <v>46</v>
      </c>
      <c r="P29" s="26">
        <f>SUM(D29:O29)</f>
        <v>2374</v>
      </c>
      <c r="Q29" s="28">
        <f>'IMS vs FRCST'!P16</f>
        <v>223</v>
      </c>
      <c r="R29" s="28">
        <f>'IMS vs FRCST'!Q16</f>
        <v>83</v>
      </c>
      <c r="S29" s="28">
        <f>'IMS vs FRCST'!R16</f>
        <v>67</v>
      </c>
      <c r="T29" s="28">
        <f>'IMS vs FRCST'!S16</f>
        <v>243</v>
      </c>
      <c r="U29" s="28">
        <f>'IMS vs FRCST'!T16</f>
        <v>139</v>
      </c>
      <c r="V29" s="28">
        <f>'IMS vs FRCST'!U16</f>
        <v>270</v>
      </c>
      <c r="W29" s="28">
        <f>'IMS vs FRCST'!V16</f>
        <v>270</v>
      </c>
      <c r="X29" s="28">
        <f>'IMS vs FRCST'!W16</f>
        <v>270</v>
      </c>
      <c r="Y29" s="28">
        <f>'IMS vs FRCST'!X16</f>
        <v>250</v>
      </c>
      <c r="Z29" s="28">
        <f>'IMS vs FRCST'!Y16</f>
        <v>250</v>
      </c>
      <c r="AA29" s="28">
        <f>'IMS vs FRCST'!Z16</f>
        <v>200</v>
      </c>
      <c r="AB29" s="28">
        <f>'IMS vs FRCST'!AA16</f>
        <v>200</v>
      </c>
      <c r="AC29" s="26">
        <f>SUM(Q29:AB29)</f>
        <v>2465</v>
      </c>
      <c r="AD29" s="28">
        <f>'IMS vs FRCST'!AC16</f>
        <v>230</v>
      </c>
      <c r="AE29" s="28">
        <f>'IMS vs FRCST'!AD16</f>
        <v>230</v>
      </c>
      <c r="AF29" s="28">
        <f>'IMS vs FRCST'!AE16</f>
        <v>234.6</v>
      </c>
      <c r="AG29" s="28">
        <f>'IMS vs FRCST'!AF16</f>
        <v>247.86</v>
      </c>
      <c r="AH29" s="28">
        <f>'IMS vs FRCST'!AG16</f>
        <v>141.78</v>
      </c>
      <c r="AI29" s="28">
        <f>'IMS vs FRCST'!AH16</f>
        <v>275.39999999999998</v>
      </c>
      <c r="AJ29" s="28">
        <f>'IMS vs FRCST'!AI16</f>
        <v>275.39999999999998</v>
      </c>
      <c r="AK29" s="28">
        <f>'IMS vs FRCST'!AJ16</f>
        <v>275.39999999999998</v>
      </c>
      <c r="AL29" s="28">
        <f>'IMS vs FRCST'!AK16</f>
        <v>255</v>
      </c>
      <c r="AM29" s="28">
        <f>'IMS vs FRCST'!AL16</f>
        <v>255</v>
      </c>
      <c r="AN29" s="28">
        <f>'IMS vs FRCST'!AM16</f>
        <v>204</v>
      </c>
      <c r="AO29" s="28">
        <f>'IMS vs FRCST'!AN16</f>
        <v>204</v>
      </c>
      <c r="AP29" s="26">
        <f>SUM(AD29:AO29)</f>
        <v>2828.44</v>
      </c>
    </row>
    <row r="30" spans="2:42" x14ac:dyDescent="0.35">
      <c r="B30" s="163"/>
      <c r="C30" s="4" t="s">
        <v>56</v>
      </c>
      <c r="D30" s="71">
        <f>'Shipment (Production)'!G17</f>
        <v>0</v>
      </c>
      <c r="E30" s="71">
        <f>'Shipment (Production)'!L17</f>
        <v>106</v>
      </c>
      <c r="F30" s="71">
        <f>'Shipment (Production)'!Q17</f>
        <v>678</v>
      </c>
      <c r="G30" s="71">
        <f>'Shipment (Production)'!V17</f>
        <v>0</v>
      </c>
      <c r="H30" s="71">
        <f>'Shipment (Production)'!AA17</f>
        <v>0</v>
      </c>
      <c r="I30" s="71">
        <f>'Shipment (Production)'!AF17</f>
        <v>0</v>
      </c>
      <c r="J30" s="71">
        <f>'Shipment (Production)'!AK17</f>
        <v>413</v>
      </c>
      <c r="K30" s="71">
        <f>'Shipment (Production)'!AP17</f>
        <v>601</v>
      </c>
      <c r="L30" s="27">
        <f>'Shipment (Production)'!AU17</f>
        <v>334</v>
      </c>
      <c r="M30" s="27">
        <f>'Shipment (Production)'!AZ17</f>
        <v>191</v>
      </c>
      <c r="N30" s="27">
        <f>'Shipment (Production)'!BE17</f>
        <v>293</v>
      </c>
      <c r="O30" s="27">
        <f>'Shipment (Production)'!BJ17</f>
        <v>0</v>
      </c>
      <c r="P30" s="26">
        <f>SUM(D30:O30)</f>
        <v>2616</v>
      </c>
      <c r="Q30" s="27">
        <f>'Shipment (Production)'!BP17</f>
        <v>0</v>
      </c>
      <c r="R30" s="27">
        <f>'Shipment (Production)'!BU17</f>
        <v>237</v>
      </c>
      <c r="S30" s="27">
        <f>'Shipment (Production)'!BZ17</f>
        <v>250</v>
      </c>
      <c r="T30" s="27">
        <f>'Shipment (Production)'!CE17</f>
        <v>0</v>
      </c>
      <c r="U30" s="27">
        <f>'Shipment (Production)'!CJ17</f>
        <v>300</v>
      </c>
      <c r="V30" s="27">
        <f>'Shipment (Production)'!CO17</f>
        <v>300</v>
      </c>
      <c r="W30" s="27">
        <f>'Shipment (Production)'!CT17</f>
        <v>250</v>
      </c>
      <c r="X30" s="27">
        <f>'Shipment (Production)'!CY17</f>
        <v>300</v>
      </c>
      <c r="Y30" s="27">
        <f>'Shipment (Production)'!DD17</f>
        <v>250</v>
      </c>
      <c r="Z30" s="27">
        <f>'Shipment (Production)'!DI17</f>
        <v>200</v>
      </c>
      <c r="AA30" s="27">
        <f>'Shipment (Production)'!DN17</f>
        <v>150</v>
      </c>
      <c r="AB30" s="27">
        <f>'Shipment (Production)'!DS17</f>
        <v>150</v>
      </c>
      <c r="AC30" s="26">
        <f>SUM(Q30:AB30)</f>
        <v>2387</v>
      </c>
      <c r="AD30" s="27">
        <f>'Shipment (Production)'!DY17</f>
        <v>230</v>
      </c>
      <c r="AE30" s="27">
        <f>'Shipment (Production)'!ED17</f>
        <v>230</v>
      </c>
      <c r="AF30" s="27">
        <f>'Shipment (Production)'!EI17</f>
        <v>234.6</v>
      </c>
      <c r="AG30" s="27">
        <f>'Shipment (Production)'!EN17</f>
        <v>306</v>
      </c>
      <c r="AH30" s="27">
        <f>'Shipment (Production)'!ES17</f>
        <v>255</v>
      </c>
      <c r="AI30" s="27">
        <f>'Shipment (Production)'!EX17</f>
        <v>255</v>
      </c>
      <c r="AJ30" s="27">
        <f>'Shipment (Production)'!FC17</f>
        <v>255</v>
      </c>
      <c r="AK30" s="27">
        <f>'Shipment (Production)'!FH17</f>
        <v>255</v>
      </c>
      <c r="AL30" s="27">
        <f>'Shipment (Production)'!FM17</f>
        <v>153</v>
      </c>
      <c r="AM30" s="27">
        <f>'Shipment (Production)'!FR17</f>
        <v>153</v>
      </c>
      <c r="AN30" s="27">
        <f>'Shipment (Production)'!FW17</f>
        <v>153</v>
      </c>
      <c r="AO30" s="27">
        <f>'Shipment (Production)'!GB17</f>
        <v>153</v>
      </c>
      <c r="AP30" s="26">
        <f>SUM(AD30:AO30)</f>
        <v>2632.6</v>
      </c>
    </row>
    <row r="31" spans="2:42" x14ac:dyDescent="0.35">
      <c r="B31" s="163"/>
      <c r="C31" s="4" t="s">
        <v>57</v>
      </c>
      <c r="D31" s="71">
        <f>'Arrival to Regie'!G17</f>
        <v>0</v>
      </c>
      <c r="E31" s="71">
        <f>'Arrival to Regie'!L17</f>
        <v>106</v>
      </c>
      <c r="F31" s="71">
        <f>'Arrival to Regie'!Q17</f>
        <v>678</v>
      </c>
      <c r="G31" s="71">
        <f>'Arrival to Regie'!V17</f>
        <v>0</v>
      </c>
      <c r="H31" s="71">
        <f>'Arrival to Regie'!AA17</f>
        <v>0</v>
      </c>
      <c r="I31" s="71">
        <f>'Arrival to Regie'!AF17</f>
        <v>0</v>
      </c>
      <c r="J31" s="71">
        <f>'Arrival to Regie'!AK17</f>
        <v>413</v>
      </c>
      <c r="K31" s="71">
        <f>'Arrival to Regie'!AP17</f>
        <v>601</v>
      </c>
      <c r="L31" s="27">
        <f>'Arrival to Regie'!AU17</f>
        <v>334</v>
      </c>
      <c r="M31" s="27">
        <f>'Arrival to Regie'!AZ17</f>
        <v>0</v>
      </c>
      <c r="N31" s="27">
        <f>'Arrival to Regie'!BE17</f>
        <v>281</v>
      </c>
      <c r="O31" s="27">
        <f>'Arrival to Regie'!BJ17</f>
        <v>203</v>
      </c>
      <c r="P31" s="26">
        <f>SUM(D31:O31)</f>
        <v>2616</v>
      </c>
      <c r="Q31" s="27">
        <f>'Arrival to Regie'!BP17</f>
        <v>0</v>
      </c>
      <c r="R31" s="27">
        <f>'Arrival to Regie'!BU17</f>
        <v>0</v>
      </c>
      <c r="S31" s="27">
        <f>'Arrival to Regie'!BZ17</f>
        <v>487</v>
      </c>
      <c r="T31" s="27">
        <f>'Arrival to Regie'!CE17</f>
        <v>0</v>
      </c>
      <c r="U31" s="27">
        <f>'Arrival to Regie'!CJ17</f>
        <v>0</v>
      </c>
      <c r="V31" s="27">
        <f>'Arrival to Regie'!CO17</f>
        <v>300</v>
      </c>
      <c r="W31" s="27">
        <f>'Arrival to Regie'!CT17</f>
        <v>300</v>
      </c>
      <c r="X31" s="27">
        <f>'Arrival to Regie'!CY17</f>
        <v>250</v>
      </c>
      <c r="Y31" s="27">
        <f>'Arrival to Regie'!DD17</f>
        <v>300</v>
      </c>
      <c r="Z31" s="27">
        <f>'Arrival to Regie'!DI17</f>
        <v>250</v>
      </c>
      <c r="AA31" s="27">
        <f>'Arrival to Regie'!DN17</f>
        <v>200</v>
      </c>
      <c r="AB31" s="27">
        <f>'Arrival to Regie'!DS17</f>
        <v>300</v>
      </c>
      <c r="AC31" s="26">
        <f>SUM(Q31:AB31)</f>
        <v>2387</v>
      </c>
      <c r="AD31" s="27">
        <f>'Arrival to Regie'!DY17</f>
        <v>230</v>
      </c>
      <c r="AE31" s="27">
        <f>'Arrival to Regie'!ED17</f>
        <v>230</v>
      </c>
      <c r="AF31" s="27">
        <f>'Arrival to Regie'!EI17</f>
        <v>234.6</v>
      </c>
      <c r="AG31" s="27">
        <f>'Arrival to Regie'!EN17</f>
        <v>306</v>
      </c>
      <c r="AH31" s="27">
        <f>'Arrival to Regie'!ES17</f>
        <v>255</v>
      </c>
      <c r="AI31" s="27">
        <f>'Arrival to Regie'!EX17</f>
        <v>255</v>
      </c>
      <c r="AJ31" s="27">
        <f>'Arrival to Regie'!FC17</f>
        <v>255</v>
      </c>
      <c r="AK31" s="27">
        <f>'Arrival to Regie'!FH17</f>
        <v>255</v>
      </c>
      <c r="AL31" s="27">
        <f>'Arrival to Regie'!FM17</f>
        <v>153</v>
      </c>
      <c r="AM31" s="27">
        <f>'Arrival to Regie'!FR17</f>
        <v>153</v>
      </c>
      <c r="AN31" s="27">
        <f>'Arrival to Regie'!FW17</f>
        <v>153</v>
      </c>
      <c r="AO31" s="27">
        <f>'Arrival to Regie'!GB17</f>
        <v>153</v>
      </c>
      <c r="AP31" s="26">
        <f>SUM(AD31:AO31)</f>
        <v>2632.6</v>
      </c>
    </row>
    <row r="32" spans="2:42" x14ac:dyDescent="0.35">
      <c r="B32" s="163"/>
      <c r="C32" s="47" t="s">
        <v>58</v>
      </c>
      <c r="D32" s="72">
        <f t="shared" ref="D32:AB32" si="94">D27+D28+D31-D29</f>
        <v>19</v>
      </c>
      <c r="E32" s="72">
        <f t="shared" si="94"/>
        <v>106</v>
      </c>
      <c r="F32" s="72">
        <f t="shared" si="94"/>
        <v>543</v>
      </c>
      <c r="G32" s="72">
        <f t="shared" si="94"/>
        <v>387</v>
      </c>
      <c r="H32" s="72">
        <f t="shared" si="94"/>
        <v>281</v>
      </c>
      <c r="I32" s="72">
        <f t="shared" si="94"/>
        <v>89</v>
      </c>
      <c r="J32" s="72">
        <f t="shared" si="94"/>
        <v>314</v>
      </c>
      <c r="K32" s="72">
        <f t="shared" si="94"/>
        <v>702</v>
      </c>
      <c r="L32" s="48">
        <f t="shared" si="94"/>
        <v>646</v>
      </c>
      <c r="M32" s="48">
        <f t="shared" si="94"/>
        <v>257</v>
      </c>
      <c r="N32" s="48">
        <f t="shared" si="94"/>
        <v>328</v>
      </c>
      <c r="O32" s="48">
        <f t="shared" si="94"/>
        <v>485</v>
      </c>
      <c r="P32" s="26"/>
      <c r="Q32" s="48">
        <f t="shared" si="94"/>
        <v>262</v>
      </c>
      <c r="R32" s="48">
        <f t="shared" si="94"/>
        <v>179</v>
      </c>
      <c r="S32" s="48">
        <f t="shared" si="94"/>
        <v>599</v>
      </c>
      <c r="T32" s="48">
        <f t="shared" si="94"/>
        <v>356</v>
      </c>
      <c r="U32" s="48">
        <f t="shared" si="94"/>
        <v>217</v>
      </c>
      <c r="V32" s="48">
        <f t="shared" si="94"/>
        <v>247</v>
      </c>
      <c r="W32" s="48">
        <f t="shared" si="94"/>
        <v>277</v>
      </c>
      <c r="X32" s="48">
        <f t="shared" si="94"/>
        <v>257</v>
      </c>
      <c r="Y32" s="48">
        <f t="shared" si="94"/>
        <v>307</v>
      </c>
      <c r="Z32" s="48">
        <f t="shared" si="94"/>
        <v>307</v>
      </c>
      <c r="AA32" s="48">
        <f t="shared" si="94"/>
        <v>307</v>
      </c>
      <c r="AB32" s="48">
        <f t="shared" si="94"/>
        <v>407</v>
      </c>
      <c r="AC32" s="26"/>
      <c r="AD32" s="48">
        <f t="shared" ref="AD32:AO32" si="95">AD27+AD28+AD31-AD29</f>
        <v>407</v>
      </c>
      <c r="AE32" s="48">
        <f t="shared" si="95"/>
        <v>407</v>
      </c>
      <c r="AF32" s="48">
        <f t="shared" si="95"/>
        <v>407</v>
      </c>
      <c r="AG32" s="48">
        <f t="shared" si="95"/>
        <v>465.14</v>
      </c>
      <c r="AH32" s="48">
        <f t="shared" si="95"/>
        <v>578.36</v>
      </c>
      <c r="AI32" s="48">
        <f t="shared" si="95"/>
        <v>557.96</v>
      </c>
      <c r="AJ32" s="48">
        <f t="shared" si="95"/>
        <v>537.56000000000006</v>
      </c>
      <c r="AK32" s="48">
        <f t="shared" si="95"/>
        <v>517.16000000000008</v>
      </c>
      <c r="AL32" s="48">
        <f t="shared" si="95"/>
        <v>415.16000000000008</v>
      </c>
      <c r="AM32" s="48">
        <f t="shared" si="95"/>
        <v>313.16000000000008</v>
      </c>
      <c r="AN32" s="48">
        <f t="shared" si="95"/>
        <v>262.16000000000008</v>
      </c>
      <c r="AO32" s="48">
        <f t="shared" si="95"/>
        <v>211.16000000000008</v>
      </c>
      <c r="AP32" s="26"/>
    </row>
    <row r="33" spans="2:42" ht="15" thickBot="1" x14ac:dyDescent="0.4">
      <c r="B33" s="164"/>
      <c r="C33" s="34" t="s">
        <v>59</v>
      </c>
      <c r="D33" s="35">
        <f>IF(D32=0,0,IFERROR((((D32)/(AVERAGE(E29:F29)))*4.3),"∞"))</f>
        <v>0.62846153846153852</v>
      </c>
      <c r="E33" s="35">
        <f t="shared" ref="E33" si="96">IF(E32=0,0,IFERROR((((E32)/(AVERAGE(F29:G29)))*4.3),"∞"))</f>
        <v>2.2962216624685134</v>
      </c>
      <c r="F33" s="35">
        <f t="shared" ref="F33" si="97">IF(F32=0,0,IFERROR((((F32)/(AVERAGE(G29:H29)))*4.3),"∞"))</f>
        <v>17.823664122137405</v>
      </c>
      <c r="G33" s="35">
        <f t="shared" ref="G33" si="98">IF(G32=0,0,IFERROR((((G32)/(AVERAGE(H29:I29)))*4.3),"∞"))</f>
        <v>11.168456375838927</v>
      </c>
      <c r="H33" s="35">
        <f t="shared" ref="H33" si="99">IF(H32=0,0,IFERROR((((H32)/(AVERAGE(I29:J29)))*4.3),"∞"))</f>
        <v>6.3594736842105259</v>
      </c>
      <c r="I33" s="35">
        <f t="shared" ref="I33" si="100">IF(I32=0,0,IFERROR((((I32)/(AVERAGE(J29:K29)))*4.3),"∞"))</f>
        <v>1.9087281795511222</v>
      </c>
      <c r="J33" s="35">
        <f t="shared" ref="J33" si="101">IF(J32=0,0,IFERROR((((J32)/(AVERAGE(K29:L29)))*4.3),"∞"))</f>
        <v>4.4782752902155885</v>
      </c>
      <c r="K33" s="35">
        <f t="shared" ref="K33" si="102">IF(K32=0,0,IFERROR((((K32)/(AVERAGE(L29:M29)))*4.3),"∞"))</f>
        <v>7.7499358151476248</v>
      </c>
      <c r="L33" s="35">
        <f t="shared" ref="L33" si="103">IF(L32=0,0,IFERROR((((L32)/(AVERAGE(M29:N29)))*4.3),"∞"))</f>
        <v>9.2747913188647733</v>
      </c>
      <c r="M33" s="35">
        <f t="shared" ref="M33" si="104">IF(M32=0,0,IFERROR((((M32)/(AVERAGE(N29:O29)))*4.3),"∞"))</f>
        <v>8.6335937499999993</v>
      </c>
      <c r="N33" s="35">
        <f>IF(N32=0,0,IFERROR((((N32)/(AVERAGE(O29,Q29)))*4.3),"∞"))</f>
        <v>10.48624535315985</v>
      </c>
      <c r="O33" s="35">
        <f>IF(O32=0,0,IFERROR((((O32)/(AVERAGE(Q29:R29)))*4.3),"∞"))</f>
        <v>13.630718954248366</v>
      </c>
      <c r="P33" s="36"/>
      <c r="Q33" s="35">
        <f>IF(Q32=0,0,IFERROR((((Q32)/(AVERAGE(R29:S29)))*4.3),"∞"))</f>
        <v>15.021333333333333</v>
      </c>
      <c r="R33" s="35">
        <f t="shared" ref="R33" si="105">IF(R32=0,0,IFERROR((((R32)/(AVERAGE(S29:T29)))*4.3),"∞"))</f>
        <v>4.9658064516129032</v>
      </c>
      <c r="S33" s="35">
        <f t="shared" ref="S33" si="106">IF(S32=0,0,IFERROR((((S32)/(AVERAGE(T29:U29)))*4.3),"∞"))</f>
        <v>13.485340314136126</v>
      </c>
      <c r="T33" s="35">
        <f t="shared" ref="T33" si="107">IF(T32=0,0,IFERROR((((T32)/(AVERAGE(U29:V29)))*4.3),"∞"))</f>
        <v>7.4855745721271392</v>
      </c>
      <c r="U33" s="35">
        <f t="shared" ref="U33" si="108">IF(U32=0,0,IFERROR((((U32)/(AVERAGE(V29:W29)))*4.3),"∞"))</f>
        <v>3.4559259259259258</v>
      </c>
      <c r="V33" s="35">
        <f t="shared" ref="V33" si="109">IF(V32=0,0,IFERROR((((V32)/(AVERAGE(W29:X29)))*4.3),"∞"))</f>
        <v>3.9337037037037037</v>
      </c>
      <c r="W33" s="35">
        <f t="shared" ref="W33" si="110">IF(W32=0,0,IFERROR((((W32)/(AVERAGE(X29:Y29)))*4.3),"∞"))</f>
        <v>4.5811538461538461</v>
      </c>
      <c r="X33" s="35">
        <f t="shared" ref="X33" si="111">IF(X32=0,0,IFERROR((((X32)/(AVERAGE(Y29:Z29)))*4.3),"∞"))</f>
        <v>4.4203999999999999</v>
      </c>
      <c r="Y33" s="35">
        <f t="shared" ref="Y33" si="112">IF(Y32=0,0,IFERROR((((Y32)/(AVERAGE(Z29:AA29)))*4.3),"∞"))</f>
        <v>5.8671111111111101</v>
      </c>
      <c r="Z33" s="35">
        <f t="shared" ref="Z33" si="113">IF(Z32=0,0,IFERROR((((Z32)/(AVERAGE(AA29:AB29)))*4.3),"∞"))</f>
        <v>6.6004999999999994</v>
      </c>
      <c r="AA33" s="35">
        <f>IF(AA32=0,0,IFERROR((((AA32)/(AVERAGE(AB29,AD29)))*4.3),"∞"))</f>
        <v>6.14</v>
      </c>
      <c r="AB33" s="35">
        <f>IF(AB32=0,0,IFERROR((((AB32)/(AVERAGE(AD29:AE29)))*4.3),"∞"))</f>
        <v>7.6091304347826085</v>
      </c>
      <c r="AC33" s="36"/>
      <c r="AD33" s="35">
        <f>IF(AD32=0,0,IFERROR((((AD32)/(AVERAGE(AE29:AF29)))*4.3),"∞"))</f>
        <v>7.5337925096857505</v>
      </c>
      <c r="AE33" s="35">
        <f t="shared" ref="AE33" si="114">IF(AE32=0,0,IFERROR((((AE32)/(AVERAGE(AF29:AG29)))*4.3),"∞"))</f>
        <v>7.2549019607843128</v>
      </c>
      <c r="AF33" s="35">
        <f t="shared" ref="AF33" si="115">IF(AF32=0,0,IFERROR((((AF32)/(AVERAGE(AG29:AH29)))*4.3),"∞"))</f>
        <v>8.983163946206755</v>
      </c>
      <c r="AG33" s="35">
        <f t="shared" ref="AG33" si="116">IF(AG32=0,0,IFERROR((((AG32)/(AVERAGE(AH29:AI29)))*4.3),"∞"))</f>
        <v>9.5886763507358932</v>
      </c>
      <c r="AH33" s="35">
        <f t="shared" ref="AH33" si="117">IF(AH32=0,0,IFERROR((((AH32)/(AVERAGE(AI29:AJ29)))*4.3),"∞"))</f>
        <v>9.0303122730573726</v>
      </c>
      <c r="AI33" s="35">
        <f t="shared" ref="AI33" si="118">IF(AI32=0,0,IFERROR((((AI32)/(AVERAGE(AJ29:AK29)))*4.3),"∞"))</f>
        <v>8.7117937545388529</v>
      </c>
      <c r="AJ33" s="35">
        <f t="shared" ref="AJ33" si="119">IF(AJ32=0,0,IFERROR((((AJ32)/(AVERAGE(AK29:AL29)))*4.3),"∞"))</f>
        <v>8.7160935143288096</v>
      </c>
      <c r="AK33" s="35">
        <f t="shared" ref="AK33" si="120">IF(AK32=0,0,IFERROR((((AK32)/(AVERAGE(AL29:AM29)))*4.3),"∞"))</f>
        <v>8.7207372549019624</v>
      </c>
      <c r="AL33" s="35">
        <f t="shared" ref="AL33" si="121">IF(AL32=0,0,IFERROR((((AL32)/(AVERAGE(AM29:AN29)))*4.3),"∞"))</f>
        <v>7.7785969498910683</v>
      </c>
      <c r="AM33" s="35">
        <f t="shared" ref="AM33" si="122">IF(AM32=0,0,IFERROR((((AM32)/(AVERAGE(AN29:AO29)))*4.3),"∞"))</f>
        <v>6.6009215686274532</v>
      </c>
      <c r="AN33" s="35">
        <f>IF(AN32=0,0,IFERROR((((AN32)/(AVERAGE(AO29,AQ29)))*4.3),"∞"))</f>
        <v>5.525921568627453</v>
      </c>
      <c r="AO33" s="35" t="str">
        <f>IF(AO32=0,0,IFERROR((((AO32)/(AVERAGE(AQ29:AR29)))*4.3),"∞"))</f>
        <v>∞</v>
      </c>
      <c r="AP33" s="36"/>
    </row>
    <row r="34" spans="2:42" s="23" customFormat="1" ht="15" thickBot="1" x14ac:dyDescent="0.4">
      <c r="B34" s="22"/>
      <c r="D34" s="74"/>
      <c r="E34" s="74"/>
      <c r="F34" s="74"/>
      <c r="G34" s="74"/>
      <c r="H34" s="74"/>
      <c r="I34" s="74"/>
      <c r="J34" s="74"/>
      <c r="K34" s="74"/>
      <c r="L34" s="24"/>
      <c r="M34" s="24"/>
      <c r="N34" s="24"/>
      <c r="O34" s="24"/>
      <c r="P34" s="25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5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5"/>
    </row>
    <row r="35" spans="2:42" ht="14.5" customHeight="1" x14ac:dyDescent="0.35">
      <c r="B35" s="162" t="str">
        <f>'IMS vs FRCST'!B17</f>
        <v>Al Fakher Grapes 50g</v>
      </c>
      <c r="C35" s="21" t="s">
        <v>53</v>
      </c>
      <c r="D35" s="70">
        <v>0</v>
      </c>
      <c r="E35" s="70">
        <f t="shared" ref="E35" si="123">D40</f>
        <v>0</v>
      </c>
      <c r="F35" s="70">
        <f t="shared" ref="F35:O35" si="124">E40</f>
        <v>0</v>
      </c>
      <c r="G35" s="70">
        <f t="shared" si="124"/>
        <v>0</v>
      </c>
      <c r="H35" s="70">
        <f t="shared" si="124"/>
        <v>0</v>
      </c>
      <c r="I35" s="70">
        <f t="shared" si="124"/>
        <v>0</v>
      </c>
      <c r="J35" s="70">
        <f t="shared" si="124"/>
        <v>0</v>
      </c>
      <c r="K35" s="70">
        <f t="shared" si="124"/>
        <v>464</v>
      </c>
      <c r="L35" s="32">
        <f t="shared" si="124"/>
        <v>151</v>
      </c>
      <c r="M35" s="32">
        <f t="shared" si="124"/>
        <v>457</v>
      </c>
      <c r="N35" s="32">
        <f t="shared" si="124"/>
        <v>0</v>
      </c>
      <c r="O35" s="32">
        <f t="shared" si="124"/>
        <v>123</v>
      </c>
      <c r="P35" s="33"/>
      <c r="Q35" s="32">
        <f>O40</f>
        <v>680</v>
      </c>
      <c r="R35" s="32">
        <f t="shared" ref="R35:AB35" si="125">Q40</f>
        <v>638</v>
      </c>
      <c r="S35" s="32">
        <f t="shared" si="125"/>
        <v>548</v>
      </c>
      <c r="T35" s="32">
        <f t="shared" si="125"/>
        <v>1447</v>
      </c>
      <c r="U35" s="32">
        <f t="shared" si="125"/>
        <v>997</v>
      </c>
      <c r="V35" s="32">
        <f t="shared" si="125"/>
        <v>847</v>
      </c>
      <c r="W35" s="32">
        <f t="shared" si="125"/>
        <v>647</v>
      </c>
      <c r="X35" s="32">
        <f t="shared" si="125"/>
        <v>547</v>
      </c>
      <c r="Y35" s="32">
        <f t="shared" si="125"/>
        <v>447</v>
      </c>
      <c r="Z35" s="32">
        <f t="shared" si="125"/>
        <v>397</v>
      </c>
      <c r="AA35" s="32">
        <f t="shared" si="125"/>
        <v>397</v>
      </c>
      <c r="AB35" s="32">
        <f t="shared" si="125"/>
        <v>447</v>
      </c>
      <c r="AC35" s="33"/>
      <c r="AD35" s="32">
        <f>AB40</f>
        <v>697</v>
      </c>
      <c r="AE35" s="32">
        <f t="shared" ref="AE35" si="126">AD40</f>
        <v>697</v>
      </c>
      <c r="AF35" s="32">
        <f t="shared" ref="AF35" si="127">AE40</f>
        <v>697</v>
      </c>
      <c r="AG35" s="32">
        <f t="shared" ref="AG35" si="128">AF40</f>
        <v>737.8</v>
      </c>
      <c r="AH35" s="32">
        <f t="shared" ref="AH35" si="129">AG40</f>
        <v>686.8</v>
      </c>
      <c r="AI35" s="32">
        <f t="shared" ref="AI35" si="130">AH40</f>
        <v>737.8</v>
      </c>
      <c r="AJ35" s="32">
        <f t="shared" ref="AJ35" si="131">AI40</f>
        <v>788.8</v>
      </c>
      <c r="AK35" s="32">
        <f t="shared" ref="AK35" si="132">AJ40</f>
        <v>890.8</v>
      </c>
      <c r="AL35" s="32">
        <f t="shared" ref="AL35" si="133">AK40</f>
        <v>890.8</v>
      </c>
      <c r="AM35" s="32">
        <f t="shared" ref="AM35" si="134">AL40</f>
        <v>890.8</v>
      </c>
      <c r="AN35" s="32">
        <f t="shared" ref="AN35" si="135">AM40</f>
        <v>839.8</v>
      </c>
      <c r="AO35" s="32">
        <f t="shared" ref="AO35" si="136">AN40</f>
        <v>839.8</v>
      </c>
      <c r="AP35" s="33"/>
    </row>
    <row r="36" spans="2:42" x14ac:dyDescent="0.35">
      <c r="B36" s="163"/>
      <c r="C36" s="4" t="s">
        <v>54</v>
      </c>
      <c r="D36" s="71"/>
      <c r="E36" s="71"/>
      <c r="F36" s="71"/>
      <c r="G36" s="71"/>
      <c r="H36" s="71"/>
      <c r="I36" s="71"/>
      <c r="J36" s="71"/>
      <c r="K36" s="71"/>
      <c r="L36" s="27"/>
      <c r="M36" s="27"/>
      <c r="N36" s="27"/>
      <c r="O36" s="27"/>
      <c r="P36" s="26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6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6"/>
    </row>
    <row r="37" spans="2:42" s="6" customFormat="1" x14ac:dyDescent="0.35">
      <c r="B37" s="163"/>
      <c r="C37" s="42" t="s">
        <v>55</v>
      </c>
      <c r="D37" s="44">
        <f>'IMS vs FRCST'!C17</f>
        <v>248</v>
      </c>
      <c r="E37" s="44">
        <f>'IMS vs FRCST'!D17</f>
        <v>0</v>
      </c>
      <c r="F37" s="44">
        <f>'IMS vs FRCST'!E17</f>
        <v>800</v>
      </c>
      <c r="G37" s="44">
        <f>'IMS vs FRCST'!F17</f>
        <v>187</v>
      </c>
      <c r="H37" s="44">
        <f>'IMS vs FRCST'!G17</f>
        <v>0</v>
      </c>
      <c r="I37" s="44">
        <f>'IMS vs FRCST'!H17</f>
        <v>354</v>
      </c>
      <c r="J37" s="44">
        <f>'IMS vs FRCST'!I17</f>
        <v>540</v>
      </c>
      <c r="K37" s="44">
        <f>'IMS vs FRCST'!J17</f>
        <v>313</v>
      </c>
      <c r="L37" s="43">
        <f>'IMS vs FRCST'!K17</f>
        <v>256</v>
      </c>
      <c r="M37" s="43">
        <f>'IMS vs FRCST'!L17</f>
        <v>457</v>
      </c>
      <c r="N37" s="43">
        <f>'IMS vs FRCST'!M17</f>
        <v>273</v>
      </c>
      <c r="O37" s="43">
        <f>'IMS vs FRCST'!N17</f>
        <v>58</v>
      </c>
      <c r="P37" s="26">
        <f>SUM(D37:O37)</f>
        <v>3486</v>
      </c>
      <c r="Q37" s="28">
        <f>'IMS vs FRCST'!P17</f>
        <v>343</v>
      </c>
      <c r="R37" s="28">
        <f>'IMS vs FRCST'!Q17</f>
        <v>90</v>
      </c>
      <c r="S37" s="28">
        <f>'IMS vs FRCST'!R17</f>
        <v>136</v>
      </c>
      <c r="T37" s="28">
        <f>'IMS vs FRCST'!S17</f>
        <v>450</v>
      </c>
      <c r="U37" s="28">
        <f>'IMS vs FRCST'!T17</f>
        <v>450</v>
      </c>
      <c r="V37" s="28">
        <f>'IMS vs FRCST'!U17</f>
        <v>450</v>
      </c>
      <c r="W37" s="28">
        <f>'IMS vs FRCST'!V17</f>
        <v>400</v>
      </c>
      <c r="X37" s="28">
        <f>'IMS vs FRCST'!W17</f>
        <v>400</v>
      </c>
      <c r="Y37" s="28">
        <f>'IMS vs FRCST'!X17</f>
        <v>400</v>
      </c>
      <c r="Z37" s="28">
        <f>'IMS vs FRCST'!Y17</f>
        <v>350</v>
      </c>
      <c r="AA37" s="28">
        <f>'IMS vs FRCST'!Z17</f>
        <v>300</v>
      </c>
      <c r="AB37" s="28">
        <f>'IMS vs FRCST'!AA17</f>
        <v>250</v>
      </c>
      <c r="AC37" s="26">
        <f>SUM(Q37:AB37)</f>
        <v>4019</v>
      </c>
      <c r="AD37" s="28">
        <f>'IMS vs FRCST'!AC17</f>
        <v>400</v>
      </c>
      <c r="AE37" s="28">
        <f>'IMS vs FRCST'!AD17</f>
        <v>400</v>
      </c>
      <c r="AF37" s="28">
        <f>'IMS vs FRCST'!AE17</f>
        <v>367.2</v>
      </c>
      <c r="AG37" s="28">
        <f>'IMS vs FRCST'!AF17</f>
        <v>459</v>
      </c>
      <c r="AH37" s="28">
        <f>'IMS vs FRCST'!AG17</f>
        <v>459</v>
      </c>
      <c r="AI37" s="28">
        <f>'IMS vs FRCST'!AH17</f>
        <v>459</v>
      </c>
      <c r="AJ37" s="28">
        <f>'IMS vs FRCST'!AI17</f>
        <v>408</v>
      </c>
      <c r="AK37" s="28">
        <f>'IMS vs FRCST'!AJ17</f>
        <v>408</v>
      </c>
      <c r="AL37" s="28">
        <f>'IMS vs FRCST'!AK17</f>
        <v>408</v>
      </c>
      <c r="AM37" s="28">
        <f>'IMS vs FRCST'!AL17</f>
        <v>357</v>
      </c>
      <c r="AN37" s="28">
        <f>'IMS vs FRCST'!AM17</f>
        <v>306</v>
      </c>
      <c r="AO37" s="28">
        <f>'IMS vs FRCST'!AN17</f>
        <v>255</v>
      </c>
      <c r="AP37" s="26">
        <f>SUM(AD37:AO37)</f>
        <v>4686.2</v>
      </c>
    </row>
    <row r="38" spans="2:42" x14ac:dyDescent="0.35">
      <c r="B38" s="163"/>
      <c r="C38" s="4" t="s">
        <v>56</v>
      </c>
      <c r="D38" s="71">
        <f>'Shipment (Production)'!G18</f>
        <v>248</v>
      </c>
      <c r="E38" s="71">
        <f>'Shipment (Production)'!L18</f>
        <v>0</v>
      </c>
      <c r="F38" s="71">
        <f>'Shipment (Production)'!Q18</f>
        <v>987</v>
      </c>
      <c r="G38" s="71">
        <f>'Shipment (Production)'!V18</f>
        <v>0</v>
      </c>
      <c r="H38" s="71">
        <f>'Shipment (Production)'!AA18</f>
        <v>0</v>
      </c>
      <c r="I38" s="71">
        <f>'Shipment (Production)'!AF18</f>
        <v>354</v>
      </c>
      <c r="J38" s="71">
        <f>'Shipment (Production)'!AK18</f>
        <v>1004</v>
      </c>
      <c r="K38" s="71">
        <f>'Shipment (Production)'!AP18</f>
        <v>0</v>
      </c>
      <c r="L38" s="27">
        <f>'Shipment (Production)'!AU18</f>
        <v>562</v>
      </c>
      <c r="M38" s="27">
        <f>'Shipment (Production)'!AZ18</f>
        <v>396</v>
      </c>
      <c r="N38" s="27">
        <f>'Shipment (Production)'!BE18</f>
        <v>615</v>
      </c>
      <c r="O38" s="27">
        <f>'Shipment (Production)'!BJ18</f>
        <v>0</v>
      </c>
      <c r="P38" s="26">
        <f>SUM(D38:O38)</f>
        <v>4166</v>
      </c>
      <c r="Q38" s="27">
        <f>'Shipment (Production)'!BP18</f>
        <v>301</v>
      </c>
      <c r="R38" s="27">
        <f>'Shipment (Production)'!BU18</f>
        <v>635</v>
      </c>
      <c r="S38" s="27">
        <f>'Shipment (Production)'!BZ18</f>
        <v>400</v>
      </c>
      <c r="T38" s="27">
        <f>'Shipment (Production)'!CE18</f>
        <v>300</v>
      </c>
      <c r="U38" s="27">
        <f>'Shipment (Production)'!CJ18</f>
        <v>250</v>
      </c>
      <c r="V38" s="27">
        <f>'Shipment (Production)'!CO18</f>
        <v>300</v>
      </c>
      <c r="W38" s="27">
        <f>'Shipment (Production)'!CT18</f>
        <v>300</v>
      </c>
      <c r="X38" s="27">
        <f>'Shipment (Production)'!CY18</f>
        <v>350</v>
      </c>
      <c r="Y38" s="27">
        <f>'Shipment (Production)'!DD18</f>
        <v>350</v>
      </c>
      <c r="Z38" s="27">
        <f>'Shipment (Production)'!DI18</f>
        <v>350</v>
      </c>
      <c r="AA38" s="27">
        <f>'Shipment (Production)'!DN18</f>
        <v>250</v>
      </c>
      <c r="AB38" s="27">
        <f>'Shipment (Production)'!DS18</f>
        <v>250</v>
      </c>
      <c r="AC38" s="26">
        <f>SUM(Q38:AB38)</f>
        <v>4036</v>
      </c>
      <c r="AD38" s="27">
        <f>'Shipment (Production)'!DY18</f>
        <v>400</v>
      </c>
      <c r="AE38" s="27">
        <f>'Shipment (Production)'!ED18</f>
        <v>400</v>
      </c>
      <c r="AF38" s="27">
        <f>'Shipment (Production)'!EI18</f>
        <v>408</v>
      </c>
      <c r="AG38" s="27">
        <f>'Shipment (Production)'!EN18</f>
        <v>408</v>
      </c>
      <c r="AH38" s="27">
        <f>'Shipment (Production)'!ES18</f>
        <v>510</v>
      </c>
      <c r="AI38" s="27">
        <f>'Shipment (Production)'!EX18</f>
        <v>510</v>
      </c>
      <c r="AJ38" s="27">
        <f>'Shipment (Production)'!FC18</f>
        <v>510</v>
      </c>
      <c r="AK38" s="27">
        <f>'Shipment (Production)'!FH18</f>
        <v>408</v>
      </c>
      <c r="AL38" s="27">
        <f>'Shipment (Production)'!FM18</f>
        <v>408</v>
      </c>
      <c r="AM38" s="27">
        <f>'Shipment (Production)'!FR18</f>
        <v>306</v>
      </c>
      <c r="AN38" s="27">
        <f>'Shipment (Production)'!FW18</f>
        <v>306</v>
      </c>
      <c r="AO38" s="27">
        <f>'Shipment (Production)'!GB18</f>
        <v>306</v>
      </c>
      <c r="AP38" s="26">
        <f>SUM(AD38:AO38)</f>
        <v>4880</v>
      </c>
    </row>
    <row r="39" spans="2:42" x14ac:dyDescent="0.35">
      <c r="B39" s="163"/>
      <c r="C39" s="4" t="s">
        <v>57</v>
      </c>
      <c r="D39" s="71">
        <f>'Arrival to Regie'!G18</f>
        <v>248</v>
      </c>
      <c r="E39" s="71">
        <f>'Arrival to Regie'!L18</f>
        <v>0</v>
      </c>
      <c r="F39" s="71">
        <f>'Arrival to Regie'!Q18</f>
        <v>800</v>
      </c>
      <c r="G39" s="71">
        <f>'Arrival to Regie'!V18</f>
        <v>187</v>
      </c>
      <c r="H39" s="71">
        <f>'Arrival to Regie'!AA18</f>
        <v>0</v>
      </c>
      <c r="I39" s="71">
        <f>'Arrival to Regie'!AF18</f>
        <v>354</v>
      </c>
      <c r="J39" s="71">
        <f>'Arrival to Regie'!AK18</f>
        <v>1004</v>
      </c>
      <c r="K39" s="71">
        <f>'Arrival to Regie'!AP18</f>
        <v>0</v>
      </c>
      <c r="L39" s="27">
        <f>'Arrival to Regie'!AU18</f>
        <v>562</v>
      </c>
      <c r="M39" s="27">
        <f>'Arrival to Regie'!AZ18</f>
        <v>0</v>
      </c>
      <c r="N39" s="27">
        <f>'Arrival to Regie'!BE18</f>
        <v>396</v>
      </c>
      <c r="O39" s="27">
        <f>'Arrival to Regie'!BJ18</f>
        <v>615</v>
      </c>
      <c r="P39" s="26">
        <f>SUM(D39:O39)</f>
        <v>4166</v>
      </c>
      <c r="Q39" s="27">
        <f>'Arrival to Regie'!BP18</f>
        <v>301</v>
      </c>
      <c r="R39" s="27">
        <f>'Arrival to Regie'!BU18</f>
        <v>0</v>
      </c>
      <c r="S39" s="27">
        <f>'Arrival to Regie'!BZ18</f>
        <v>1035</v>
      </c>
      <c r="T39" s="27">
        <f>'Arrival to Regie'!CE18</f>
        <v>0</v>
      </c>
      <c r="U39" s="27">
        <f>'Arrival to Regie'!CJ18</f>
        <v>300</v>
      </c>
      <c r="V39" s="27">
        <f>'Arrival to Regie'!CO18</f>
        <v>250</v>
      </c>
      <c r="W39" s="27">
        <f>'Arrival to Regie'!CT18</f>
        <v>300</v>
      </c>
      <c r="X39" s="27">
        <f>'Arrival to Regie'!CY18</f>
        <v>300</v>
      </c>
      <c r="Y39" s="27">
        <f>'Arrival to Regie'!DD18</f>
        <v>350</v>
      </c>
      <c r="Z39" s="27">
        <f>'Arrival to Regie'!DI18</f>
        <v>350</v>
      </c>
      <c r="AA39" s="27">
        <f>'Arrival to Regie'!DN18</f>
        <v>350</v>
      </c>
      <c r="AB39" s="27">
        <f>'Arrival to Regie'!DS18</f>
        <v>500</v>
      </c>
      <c r="AC39" s="26">
        <f>SUM(Q39:AB39)</f>
        <v>4036</v>
      </c>
      <c r="AD39" s="27">
        <f>'Arrival to Regie'!DY18</f>
        <v>400</v>
      </c>
      <c r="AE39" s="27">
        <f>'Arrival to Regie'!ED18</f>
        <v>400</v>
      </c>
      <c r="AF39" s="27">
        <f>'Arrival to Regie'!EI18</f>
        <v>408</v>
      </c>
      <c r="AG39" s="27">
        <f>'Arrival to Regie'!EN18</f>
        <v>408</v>
      </c>
      <c r="AH39" s="27">
        <f>'Arrival to Regie'!ES18</f>
        <v>510</v>
      </c>
      <c r="AI39" s="27">
        <f>'Arrival to Regie'!EX18</f>
        <v>510</v>
      </c>
      <c r="AJ39" s="27">
        <f>'Arrival to Regie'!FC18</f>
        <v>510</v>
      </c>
      <c r="AK39" s="27">
        <f>'Arrival to Regie'!FH18</f>
        <v>408</v>
      </c>
      <c r="AL39" s="27">
        <f>'Arrival to Regie'!FM18</f>
        <v>408</v>
      </c>
      <c r="AM39" s="27">
        <f>'Arrival to Regie'!FR18</f>
        <v>306</v>
      </c>
      <c r="AN39" s="27">
        <f>'Arrival to Regie'!FW18</f>
        <v>306</v>
      </c>
      <c r="AO39" s="27">
        <f>'Arrival to Regie'!GB18</f>
        <v>306</v>
      </c>
      <c r="AP39" s="26">
        <f>SUM(AD39:AO39)</f>
        <v>4880</v>
      </c>
    </row>
    <row r="40" spans="2:42" x14ac:dyDescent="0.35">
      <c r="B40" s="163"/>
      <c r="C40" s="47" t="s">
        <v>58</v>
      </c>
      <c r="D40" s="72">
        <f t="shared" ref="D40:AB40" si="137">D35+D36+D39-D37</f>
        <v>0</v>
      </c>
      <c r="E40" s="72">
        <f t="shared" si="137"/>
        <v>0</v>
      </c>
      <c r="F40" s="72">
        <f t="shared" si="137"/>
        <v>0</v>
      </c>
      <c r="G40" s="72">
        <f t="shared" si="137"/>
        <v>0</v>
      </c>
      <c r="H40" s="72">
        <f t="shared" si="137"/>
        <v>0</v>
      </c>
      <c r="I40" s="72">
        <f t="shared" si="137"/>
        <v>0</v>
      </c>
      <c r="J40" s="72">
        <f t="shared" si="137"/>
        <v>464</v>
      </c>
      <c r="K40" s="72">
        <f t="shared" si="137"/>
        <v>151</v>
      </c>
      <c r="L40" s="48">
        <f t="shared" si="137"/>
        <v>457</v>
      </c>
      <c r="M40" s="48">
        <f t="shared" si="137"/>
        <v>0</v>
      </c>
      <c r="N40" s="48">
        <f t="shared" si="137"/>
        <v>123</v>
      </c>
      <c r="O40" s="48">
        <f t="shared" si="137"/>
        <v>680</v>
      </c>
      <c r="P40" s="26"/>
      <c r="Q40" s="48">
        <f t="shared" si="137"/>
        <v>638</v>
      </c>
      <c r="R40" s="48">
        <f t="shared" si="137"/>
        <v>548</v>
      </c>
      <c r="S40" s="48">
        <f t="shared" si="137"/>
        <v>1447</v>
      </c>
      <c r="T40" s="48">
        <f t="shared" si="137"/>
        <v>997</v>
      </c>
      <c r="U40" s="48">
        <f t="shared" si="137"/>
        <v>847</v>
      </c>
      <c r="V40" s="48">
        <f t="shared" si="137"/>
        <v>647</v>
      </c>
      <c r="W40" s="48">
        <f t="shared" si="137"/>
        <v>547</v>
      </c>
      <c r="X40" s="48">
        <f t="shared" si="137"/>
        <v>447</v>
      </c>
      <c r="Y40" s="48">
        <f t="shared" si="137"/>
        <v>397</v>
      </c>
      <c r="Z40" s="48">
        <f t="shared" si="137"/>
        <v>397</v>
      </c>
      <c r="AA40" s="48">
        <f t="shared" si="137"/>
        <v>447</v>
      </c>
      <c r="AB40" s="48">
        <f t="shared" si="137"/>
        <v>697</v>
      </c>
      <c r="AC40" s="26"/>
      <c r="AD40" s="48">
        <f t="shared" ref="AD40:AO40" si="138">AD35+AD36+AD39-AD37</f>
        <v>697</v>
      </c>
      <c r="AE40" s="48">
        <f t="shared" si="138"/>
        <v>697</v>
      </c>
      <c r="AF40" s="48">
        <f t="shared" si="138"/>
        <v>737.8</v>
      </c>
      <c r="AG40" s="48">
        <f t="shared" si="138"/>
        <v>686.8</v>
      </c>
      <c r="AH40" s="48">
        <f t="shared" si="138"/>
        <v>737.8</v>
      </c>
      <c r="AI40" s="48">
        <f t="shared" si="138"/>
        <v>788.8</v>
      </c>
      <c r="AJ40" s="48">
        <f t="shared" si="138"/>
        <v>890.8</v>
      </c>
      <c r="AK40" s="48">
        <f t="shared" si="138"/>
        <v>890.8</v>
      </c>
      <c r="AL40" s="48">
        <f t="shared" si="138"/>
        <v>890.8</v>
      </c>
      <c r="AM40" s="48">
        <f t="shared" si="138"/>
        <v>839.8</v>
      </c>
      <c r="AN40" s="48">
        <f t="shared" si="138"/>
        <v>839.8</v>
      </c>
      <c r="AO40" s="48">
        <f t="shared" si="138"/>
        <v>890.8</v>
      </c>
      <c r="AP40" s="26"/>
    </row>
    <row r="41" spans="2:42" ht="15" thickBot="1" x14ac:dyDescent="0.4">
      <c r="B41" s="164"/>
      <c r="C41" s="34" t="s">
        <v>59</v>
      </c>
      <c r="D41" s="35">
        <f>IF(D40=0,0,IFERROR((((D40)/(AVERAGE(E37:F37)))*4.3),"∞"))</f>
        <v>0</v>
      </c>
      <c r="E41" s="35">
        <f t="shared" ref="E41" si="139">IF(E40=0,0,IFERROR((((E40)/(AVERAGE(F37:G37)))*4.3),"∞"))</f>
        <v>0</v>
      </c>
      <c r="F41" s="35">
        <f t="shared" ref="F41" si="140">IF(F40=0,0,IFERROR((((F40)/(AVERAGE(G37:H37)))*4.3),"∞"))</f>
        <v>0</v>
      </c>
      <c r="G41" s="35">
        <f t="shared" ref="G41" si="141">IF(G40=0,0,IFERROR((((G40)/(AVERAGE(H37:I37)))*4.3),"∞"))</f>
        <v>0</v>
      </c>
      <c r="H41" s="35">
        <f t="shared" ref="H41" si="142">IF(H40=0,0,IFERROR((((H40)/(AVERAGE(I37:J37)))*4.3),"∞"))</f>
        <v>0</v>
      </c>
      <c r="I41" s="35">
        <f t="shared" ref="I41" si="143">IF(I40=0,0,IFERROR((((I40)/(AVERAGE(J37:K37)))*4.3),"∞"))</f>
        <v>0</v>
      </c>
      <c r="J41" s="35">
        <f t="shared" ref="J41" si="144">IF(J40=0,0,IFERROR((((J40)/(AVERAGE(K37:L37)))*4.3),"∞"))</f>
        <v>7.0130052724077325</v>
      </c>
      <c r="K41" s="35">
        <f t="shared" ref="K41" si="145">IF(K40=0,0,IFERROR((((K40)/(AVERAGE(L37:M37)))*4.3),"∞"))</f>
        <v>1.8213183730715286</v>
      </c>
      <c r="L41" s="35">
        <f t="shared" ref="L41" si="146">IF(L40=0,0,IFERROR((((L40)/(AVERAGE(M37:N37)))*4.3),"∞"))</f>
        <v>5.3838356164383558</v>
      </c>
      <c r="M41" s="35">
        <f t="shared" ref="M41" si="147">IF(M40=0,0,IFERROR((((M40)/(AVERAGE(N37:O37)))*4.3),"∞"))</f>
        <v>0</v>
      </c>
      <c r="N41" s="35">
        <f>IF(N40=0,0,IFERROR((((N40)/(AVERAGE(O37,Q37)))*4.3),"∞"))</f>
        <v>2.6379052369077307</v>
      </c>
      <c r="O41" s="35">
        <f>IF(O40=0,0,IFERROR((((O40)/(AVERAGE(Q37:R37)))*4.3),"∞"))</f>
        <v>13.505773672055428</v>
      </c>
      <c r="P41" s="36"/>
      <c r="Q41" s="35">
        <f>IF(Q40=0,0,IFERROR((((Q40)/(AVERAGE(R37:S37)))*4.3),"∞"))</f>
        <v>24.277876106194689</v>
      </c>
      <c r="R41" s="35">
        <f t="shared" ref="R41" si="148">IF(R40=0,0,IFERROR((((R40)/(AVERAGE(S37:T37)))*4.3),"∞"))</f>
        <v>8.0423208191126285</v>
      </c>
      <c r="S41" s="35">
        <f t="shared" ref="S41" si="149">IF(S40=0,0,IFERROR((((S40)/(AVERAGE(T37:U37)))*4.3),"∞"))</f>
        <v>13.826888888888888</v>
      </c>
      <c r="T41" s="35">
        <f t="shared" ref="T41" si="150">IF(T40=0,0,IFERROR((((T40)/(AVERAGE(U37:V37)))*4.3),"∞"))</f>
        <v>9.5268888888888874</v>
      </c>
      <c r="U41" s="35">
        <f t="shared" ref="U41" si="151">IF(U40=0,0,IFERROR((((U40)/(AVERAGE(V37:W37)))*4.3),"∞"))</f>
        <v>8.569647058823529</v>
      </c>
      <c r="V41" s="35">
        <f t="shared" ref="V41" si="152">IF(V40=0,0,IFERROR((((V40)/(AVERAGE(W37:X37)))*4.3),"∞"))</f>
        <v>6.9552499999999995</v>
      </c>
      <c r="W41" s="35">
        <f t="shared" ref="W41" si="153">IF(W40=0,0,IFERROR((((W40)/(AVERAGE(X37:Y37)))*4.3),"∞"))</f>
        <v>5.8802499999999993</v>
      </c>
      <c r="X41" s="35">
        <f t="shared" ref="X41" si="154">IF(X40=0,0,IFERROR((((X40)/(AVERAGE(Y37:Z37)))*4.3),"∞"))</f>
        <v>5.1255999999999995</v>
      </c>
      <c r="Y41" s="35">
        <f t="shared" ref="Y41" si="155">IF(Y40=0,0,IFERROR((((Y40)/(AVERAGE(Z37:AA37)))*4.3),"∞"))</f>
        <v>5.2526153846153845</v>
      </c>
      <c r="Z41" s="35">
        <f t="shared" ref="Z41" si="156">IF(Z40=0,0,IFERROR((((Z40)/(AVERAGE(AA37:AB37)))*4.3),"∞"))</f>
        <v>6.2076363636363636</v>
      </c>
      <c r="AA41" s="35">
        <f>IF(AA40=0,0,IFERROR((((AA40)/(AVERAGE(AB37,AD37)))*4.3),"∞"))</f>
        <v>5.9141538461538463</v>
      </c>
      <c r="AB41" s="35">
        <f>IF(AB40=0,0,IFERROR((((AB40)/(AVERAGE(AD37:AE37)))*4.3),"∞"))</f>
        <v>7.4927499999999991</v>
      </c>
      <c r="AC41" s="36"/>
      <c r="AD41" s="35">
        <f>IF(AD40=0,0,IFERROR((((AD40)/(AVERAGE(AE37:AF37)))*4.3),"∞"))</f>
        <v>7.8130865484880072</v>
      </c>
      <c r="AE41" s="35">
        <f t="shared" ref="AE41" si="157">IF(AE40=0,0,IFERROR((((AE40)/(AVERAGE(AF37:AG37)))*4.3),"∞"))</f>
        <v>7.2551440329218098</v>
      </c>
      <c r="AF41" s="35">
        <f t="shared" ref="AF41" si="158">IF(AF40=0,0,IFERROR((((AF40)/(AVERAGE(AG37:AH37)))*4.3),"∞"))</f>
        <v>6.9118518518518517</v>
      </c>
      <c r="AG41" s="35">
        <f t="shared" ref="AG41" si="159">IF(AG40=0,0,IFERROR((((AG40)/(AVERAGE(AH37:AI37)))*4.3),"∞"))</f>
        <v>6.4340740740740738</v>
      </c>
      <c r="AH41" s="35">
        <f t="shared" ref="AH41" si="160">IF(AH40=0,0,IFERROR((((AH40)/(AVERAGE(AI37:AJ37)))*4.3),"∞"))</f>
        <v>7.3184313725490187</v>
      </c>
      <c r="AI41" s="35">
        <f t="shared" ref="AI41" si="161">IF(AI40=0,0,IFERROR((((AI40)/(AVERAGE(AJ37:AK37)))*4.3),"∞"))</f>
        <v>8.3133333333333326</v>
      </c>
      <c r="AJ41" s="35">
        <f t="shared" ref="AJ41" si="162">IF(AJ40=0,0,IFERROR((((AJ40)/(AVERAGE(AK37:AL37)))*4.3),"∞"))</f>
        <v>9.3883333333333319</v>
      </c>
      <c r="AK41" s="35">
        <f t="shared" ref="AK41" si="163">IF(AK40=0,0,IFERROR((((AK40)/(AVERAGE(AL37:AM37)))*4.3),"∞"))</f>
        <v>10.014222222222221</v>
      </c>
      <c r="AL41" s="35">
        <f t="shared" ref="AL41" si="164">IF(AL40=0,0,IFERROR((((AL40)/(AVERAGE(AM37:AN37)))*4.3),"∞"))</f>
        <v>11.554871794871794</v>
      </c>
      <c r="AM41" s="35">
        <f t="shared" ref="AM41" si="165">IF(AM40=0,0,IFERROR((((AM40)/(AVERAGE(AN37:AO37)))*4.3),"∞"))</f>
        <v>12.873939393939393</v>
      </c>
      <c r="AN41" s="35">
        <f>IF(AN40=0,0,IFERROR((((AN40)/(AVERAGE(AO37,AQ37)))*4.3),"∞"))</f>
        <v>14.161333333333332</v>
      </c>
      <c r="AO41" s="35" t="str">
        <f>IF(AO40=0,0,IFERROR((((AO40)/(AVERAGE(AQ37:AR37)))*4.3),"∞"))</f>
        <v>∞</v>
      </c>
      <c r="AP41" s="36"/>
    </row>
    <row r="42" spans="2:42" s="23" customFormat="1" ht="15" thickBot="1" x14ac:dyDescent="0.4">
      <c r="B42" s="22"/>
      <c r="D42" s="74"/>
      <c r="E42" s="74"/>
      <c r="F42" s="74"/>
      <c r="G42" s="74"/>
      <c r="H42" s="74"/>
      <c r="I42" s="74"/>
      <c r="J42" s="74"/>
      <c r="K42" s="74"/>
      <c r="L42" s="24"/>
      <c r="M42" s="24"/>
      <c r="N42" s="24"/>
      <c r="O42" s="24"/>
      <c r="P42" s="25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5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5"/>
    </row>
    <row r="43" spans="2:42" ht="14.5" customHeight="1" x14ac:dyDescent="0.35">
      <c r="B43" s="162" t="str">
        <f>'IMS vs FRCST'!B18</f>
        <v>Al Fakher Gum Mint 50g</v>
      </c>
      <c r="C43" s="21" t="s">
        <v>53</v>
      </c>
      <c r="D43" s="70">
        <v>0</v>
      </c>
      <c r="E43" s="70">
        <f t="shared" ref="E43" si="166">D48</f>
        <v>0</v>
      </c>
      <c r="F43" s="70">
        <f t="shared" ref="F43:O43" si="167">E48</f>
        <v>0</v>
      </c>
      <c r="G43" s="70">
        <f t="shared" si="167"/>
        <v>211</v>
      </c>
      <c r="H43" s="70">
        <f t="shared" si="167"/>
        <v>114</v>
      </c>
      <c r="I43" s="70">
        <f t="shared" si="167"/>
        <v>54</v>
      </c>
      <c r="J43" s="70">
        <f t="shared" si="167"/>
        <v>0</v>
      </c>
      <c r="K43" s="70">
        <f t="shared" si="167"/>
        <v>0</v>
      </c>
      <c r="L43" s="32">
        <f t="shared" si="167"/>
        <v>223</v>
      </c>
      <c r="M43" s="32">
        <f t="shared" si="167"/>
        <v>0</v>
      </c>
      <c r="N43" s="32">
        <f t="shared" si="167"/>
        <v>0</v>
      </c>
      <c r="O43" s="32">
        <f t="shared" si="167"/>
        <v>16</v>
      </c>
      <c r="P43" s="33"/>
      <c r="Q43" s="32">
        <f>O48</f>
        <v>123</v>
      </c>
      <c r="R43" s="32">
        <f t="shared" ref="R43:AB43" si="168">Q48</f>
        <v>139</v>
      </c>
      <c r="S43" s="32">
        <f t="shared" si="168"/>
        <v>118</v>
      </c>
      <c r="T43" s="32">
        <f t="shared" si="168"/>
        <v>97</v>
      </c>
      <c r="U43" s="32">
        <f t="shared" si="168"/>
        <v>192</v>
      </c>
      <c r="V43" s="32">
        <f t="shared" si="168"/>
        <v>92</v>
      </c>
      <c r="W43" s="32">
        <f t="shared" si="168"/>
        <v>192</v>
      </c>
      <c r="X43" s="32">
        <f t="shared" si="168"/>
        <v>92</v>
      </c>
      <c r="Y43" s="32">
        <f t="shared" si="168"/>
        <v>192</v>
      </c>
      <c r="Z43" s="32">
        <f t="shared" si="168"/>
        <v>117</v>
      </c>
      <c r="AA43" s="32">
        <f t="shared" si="168"/>
        <v>242</v>
      </c>
      <c r="AB43" s="32">
        <f t="shared" si="168"/>
        <v>167</v>
      </c>
      <c r="AC43" s="33"/>
      <c r="AD43" s="32">
        <f>AB48</f>
        <v>192</v>
      </c>
      <c r="AE43" s="32">
        <f t="shared" ref="AE43" si="169">AD48</f>
        <v>192</v>
      </c>
      <c r="AF43" s="32">
        <f t="shared" ref="AF43" si="170">AE48</f>
        <v>192</v>
      </c>
      <c r="AG43" s="32">
        <f t="shared" ref="AG43" si="171">AF48</f>
        <v>268.5</v>
      </c>
      <c r="AH43" s="32">
        <f t="shared" ref="AH43" si="172">AG48</f>
        <v>294</v>
      </c>
      <c r="AI43" s="32">
        <f t="shared" ref="AI43" si="173">AH48</f>
        <v>294</v>
      </c>
      <c r="AJ43" s="32">
        <f t="shared" ref="AJ43" si="174">AI48</f>
        <v>273.60000000000002</v>
      </c>
      <c r="AK43" s="32">
        <f t="shared" ref="AK43" si="175">AJ48</f>
        <v>273.60000000000002</v>
      </c>
      <c r="AL43" s="32">
        <f t="shared" ref="AL43" si="176">AK48</f>
        <v>273.60000000000002</v>
      </c>
      <c r="AM43" s="32">
        <f t="shared" ref="AM43" si="177">AL48</f>
        <v>268.5</v>
      </c>
      <c r="AN43" s="32">
        <f t="shared" ref="AN43" si="178">AM48</f>
        <v>263.39999999999998</v>
      </c>
      <c r="AO43" s="32">
        <f t="shared" ref="AO43" si="179">AN48</f>
        <v>258.29999999999995</v>
      </c>
      <c r="AP43" s="33"/>
    </row>
    <row r="44" spans="2:42" x14ac:dyDescent="0.35">
      <c r="B44" s="163"/>
      <c r="C44" s="4" t="s">
        <v>54</v>
      </c>
      <c r="D44" s="71"/>
      <c r="E44" s="71"/>
      <c r="F44" s="71"/>
      <c r="G44" s="71"/>
      <c r="H44" s="71"/>
      <c r="I44" s="71"/>
      <c r="J44" s="71"/>
      <c r="K44" s="71"/>
      <c r="L44" s="27"/>
      <c r="M44" s="27"/>
      <c r="N44" s="27"/>
      <c r="O44" s="27"/>
      <c r="P44" s="26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6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6"/>
    </row>
    <row r="45" spans="2:42" s="6" customFormat="1" x14ac:dyDescent="0.35">
      <c r="B45" s="163"/>
      <c r="C45" s="42" t="s">
        <v>55</v>
      </c>
      <c r="D45" s="44">
        <f>'IMS vs FRCST'!C18</f>
        <v>0</v>
      </c>
      <c r="E45" s="44">
        <f>'IMS vs FRCST'!D18</f>
        <v>0</v>
      </c>
      <c r="F45" s="44">
        <f>'IMS vs FRCST'!E18</f>
        <v>133</v>
      </c>
      <c r="G45" s="44">
        <f>'IMS vs FRCST'!F18</f>
        <v>97</v>
      </c>
      <c r="H45" s="44">
        <f>'IMS vs FRCST'!G18</f>
        <v>60</v>
      </c>
      <c r="I45" s="44">
        <f>'IMS vs FRCST'!H18</f>
        <v>54</v>
      </c>
      <c r="J45" s="44">
        <f>'IMS vs FRCST'!I18</f>
        <v>0</v>
      </c>
      <c r="K45" s="44">
        <f>'IMS vs FRCST'!J18</f>
        <v>0</v>
      </c>
      <c r="L45" s="43">
        <f>'IMS vs FRCST'!K18</f>
        <v>223</v>
      </c>
      <c r="M45" s="43">
        <f>'IMS vs FRCST'!L18</f>
        <v>0</v>
      </c>
      <c r="N45" s="43">
        <f>'IMS vs FRCST'!M18</f>
        <v>136</v>
      </c>
      <c r="O45" s="43">
        <f>'IMS vs FRCST'!N18</f>
        <v>4</v>
      </c>
      <c r="P45" s="26">
        <f>SUM(D45:O45)</f>
        <v>707</v>
      </c>
      <c r="Q45" s="28">
        <f>'IMS vs FRCST'!P18</f>
        <v>160</v>
      </c>
      <c r="R45" s="28">
        <f>'IMS vs FRCST'!Q18</f>
        <v>21</v>
      </c>
      <c r="S45" s="28">
        <f>'IMS vs FRCST'!R18</f>
        <v>21</v>
      </c>
      <c r="T45" s="28">
        <f>'IMS vs FRCST'!S18</f>
        <v>75</v>
      </c>
      <c r="U45" s="28">
        <f>'IMS vs FRCST'!T18</f>
        <v>100</v>
      </c>
      <c r="V45" s="28">
        <f>'IMS vs FRCST'!U18</f>
        <v>100</v>
      </c>
      <c r="W45" s="28">
        <f>'IMS vs FRCST'!V18</f>
        <v>100</v>
      </c>
      <c r="X45" s="28">
        <f>'IMS vs FRCST'!W18</f>
        <v>100</v>
      </c>
      <c r="Y45" s="28">
        <f>'IMS vs FRCST'!X18</f>
        <v>75</v>
      </c>
      <c r="Z45" s="28">
        <f>'IMS vs FRCST'!Y18</f>
        <v>75</v>
      </c>
      <c r="AA45" s="28">
        <f>'IMS vs FRCST'!Z18</f>
        <v>75</v>
      </c>
      <c r="AB45" s="28">
        <f>'IMS vs FRCST'!AA18</f>
        <v>75</v>
      </c>
      <c r="AC45" s="26">
        <f>SUM(Q45:AB45)</f>
        <v>977</v>
      </c>
      <c r="AD45" s="28">
        <f>'IMS vs FRCST'!AC18</f>
        <v>200</v>
      </c>
      <c r="AE45" s="28">
        <f>'IMS vs FRCST'!AD18</f>
        <v>150</v>
      </c>
      <c r="AF45" s="28">
        <f>'IMS vs FRCST'!AE18</f>
        <v>25.5</v>
      </c>
      <c r="AG45" s="28">
        <f>'IMS vs FRCST'!AF18</f>
        <v>76.5</v>
      </c>
      <c r="AH45" s="28">
        <f>'IMS vs FRCST'!AG18</f>
        <v>102</v>
      </c>
      <c r="AI45" s="28">
        <f>'IMS vs FRCST'!AH18</f>
        <v>102</v>
      </c>
      <c r="AJ45" s="28">
        <f>'IMS vs FRCST'!AI18</f>
        <v>102</v>
      </c>
      <c r="AK45" s="28">
        <f>'IMS vs FRCST'!AJ18</f>
        <v>102</v>
      </c>
      <c r="AL45" s="28">
        <f>'IMS vs FRCST'!AK18</f>
        <v>76.5</v>
      </c>
      <c r="AM45" s="28">
        <f>'IMS vs FRCST'!AL18</f>
        <v>76.5</v>
      </c>
      <c r="AN45" s="28">
        <f>'IMS vs FRCST'!AM18</f>
        <v>76.5</v>
      </c>
      <c r="AO45" s="28">
        <f>'IMS vs FRCST'!AN18</f>
        <v>76.5</v>
      </c>
      <c r="AP45" s="26">
        <f>SUM(AD45:AO45)</f>
        <v>1166</v>
      </c>
    </row>
    <row r="46" spans="2:42" x14ac:dyDescent="0.35">
      <c r="B46" s="163"/>
      <c r="C46" s="4" t="s">
        <v>56</v>
      </c>
      <c r="D46" s="71">
        <f>'Shipment (Production)'!G19</f>
        <v>0</v>
      </c>
      <c r="E46" s="71">
        <f>'Shipment (Production)'!L19</f>
        <v>0</v>
      </c>
      <c r="F46" s="71">
        <f>'Shipment (Production)'!Q19</f>
        <v>344</v>
      </c>
      <c r="G46" s="71">
        <f>'Shipment (Production)'!V19</f>
        <v>0</v>
      </c>
      <c r="H46" s="71">
        <f>'Shipment (Production)'!AA19</f>
        <v>0</v>
      </c>
      <c r="I46" s="71">
        <f>'Shipment (Production)'!AF19</f>
        <v>0</v>
      </c>
      <c r="J46" s="71">
        <f>'Shipment (Production)'!AK19</f>
        <v>0</v>
      </c>
      <c r="K46" s="71">
        <f>'Shipment (Production)'!AP19</f>
        <v>223</v>
      </c>
      <c r="L46" s="27">
        <f>'Shipment (Production)'!AU19</f>
        <v>0</v>
      </c>
      <c r="M46" s="27">
        <f>'Shipment (Production)'!AZ19</f>
        <v>0</v>
      </c>
      <c r="N46" s="27">
        <f>'Shipment (Production)'!BE19</f>
        <v>263</v>
      </c>
      <c r="O46" s="27">
        <f>'Shipment (Production)'!BJ19</f>
        <v>0</v>
      </c>
      <c r="P46" s="26">
        <f>SUM(D46:O46)</f>
        <v>830</v>
      </c>
      <c r="Q46" s="27">
        <f>'Shipment (Production)'!BP19</f>
        <v>176</v>
      </c>
      <c r="R46" s="27">
        <f>'Shipment (Production)'!BU19</f>
        <v>0</v>
      </c>
      <c r="S46" s="27">
        <f>'Shipment (Production)'!BZ19</f>
        <v>170</v>
      </c>
      <c r="T46" s="27">
        <f>'Shipment (Production)'!CE19</f>
        <v>0</v>
      </c>
      <c r="U46" s="27">
        <f>'Shipment (Production)'!CJ19</f>
        <v>200</v>
      </c>
      <c r="V46" s="27">
        <f>'Shipment (Production)'!CO19</f>
        <v>0</v>
      </c>
      <c r="W46" s="27">
        <f>'Shipment (Production)'!CT19</f>
        <v>200</v>
      </c>
      <c r="X46" s="27">
        <f>'Shipment (Production)'!CY19</f>
        <v>0</v>
      </c>
      <c r="Y46" s="27">
        <f>'Shipment (Production)'!DD19</f>
        <v>200</v>
      </c>
      <c r="Z46" s="27">
        <f>'Shipment (Production)'!DI19</f>
        <v>0</v>
      </c>
      <c r="AA46" s="27">
        <f>'Shipment (Production)'!DN19</f>
        <v>100</v>
      </c>
      <c r="AB46" s="27">
        <f>'Shipment (Production)'!DS19</f>
        <v>0</v>
      </c>
      <c r="AC46" s="26">
        <f>SUM(Q46:AB46)</f>
        <v>1046</v>
      </c>
      <c r="AD46" s="27">
        <f>'Shipment (Production)'!DY19</f>
        <v>200</v>
      </c>
      <c r="AE46" s="27">
        <f>'Shipment (Production)'!ED19</f>
        <v>150</v>
      </c>
      <c r="AF46" s="27">
        <f>'Shipment (Production)'!EI19</f>
        <v>102</v>
      </c>
      <c r="AG46" s="27">
        <f>'Shipment (Production)'!EN19</f>
        <v>102</v>
      </c>
      <c r="AH46" s="27">
        <f>'Shipment (Production)'!ES19</f>
        <v>102</v>
      </c>
      <c r="AI46" s="27">
        <f>'Shipment (Production)'!EX19</f>
        <v>81.599999999999994</v>
      </c>
      <c r="AJ46" s="27">
        <f>'Shipment (Production)'!FC19</f>
        <v>102</v>
      </c>
      <c r="AK46" s="27">
        <f>'Shipment (Production)'!FH19</f>
        <v>102</v>
      </c>
      <c r="AL46" s="27">
        <f>'Shipment (Production)'!FM19</f>
        <v>71.400000000000006</v>
      </c>
      <c r="AM46" s="27">
        <f>'Shipment (Production)'!FR19</f>
        <v>71.400000000000006</v>
      </c>
      <c r="AN46" s="27">
        <f>'Shipment (Production)'!FW19</f>
        <v>71.400000000000006</v>
      </c>
      <c r="AO46" s="27">
        <f>'Shipment (Production)'!GB19</f>
        <v>71.400000000000006</v>
      </c>
      <c r="AP46" s="26">
        <f>SUM(AD46:AO46)</f>
        <v>1227.2000000000003</v>
      </c>
    </row>
    <row r="47" spans="2:42" x14ac:dyDescent="0.35">
      <c r="B47" s="163"/>
      <c r="C47" s="4" t="s">
        <v>57</v>
      </c>
      <c r="D47" s="71">
        <f>'Arrival to Regie'!G19</f>
        <v>0</v>
      </c>
      <c r="E47" s="71">
        <f>'Arrival to Regie'!L19</f>
        <v>0</v>
      </c>
      <c r="F47" s="71">
        <f>'Arrival to Regie'!Q19</f>
        <v>344</v>
      </c>
      <c r="G47" s="71">
        <f>'Arrival to Regie'!V19</f>
        <v>0</v>
      </c>
      <c r="H47" s="71">
        <f>'Arrival to Regie'!AA19</f>
        <v>0</v>
      </c>
      <c r="I47" s="71">
        <f>'Arrival to Regie'!AF19</f>
        <v>0</v>
      </c>
      <c r="J47" s="71">
        <f>'Arrival to Regie'!AK19</f>
        <v>0</v>
      </c>
      <c r="K47" s="71">
        <f>'Arrival to Regie'!AP19</f>
        <v>223</v>
      </c>
      <c r="L47" s="27">
        <f>'Arrival to Regie'!AU19</f>
        <v>0</v>
      </c>
      <c r="M47" s="27">
        <f>'Arrival to Regie'!AZ19</f>
        <v>0</v>
      </c>
      <c r="N47" s="27">
        <f>'Arrival to Regie'!BE19</f>
        <v>152</v>
      </c>
      <c r="O47" s="27">
        <f>'Arrival to Regie'!BJ19</f>
        <v>111</v>
      </c>
      <c r="P47" s="26">
        <f>SUM(D47:O47)</f>
        <v>830</v>
      </c>
      <c r="Q47" s="27">
        <f>'Arrival to Regie'!BP19</f>
        <v>176</v>
      </c>
      <c r="R47" s="27">
        <f>'Arrival to Regie'!BU19</f>
        <v>0</v>
      </c>
      <c r="S47" s="27">
        <f>'Arrival to Regie'!BZ19</f>
        <v>0</v>
      </c>
      <c r="T47" s="27">
        <f>'Arrival to Regie'!CE19</f>
        <v>170</v>
      </c>
      <c r="U47" s="27">
        <f>'Arrival to Regie'!CJ19</f>
        <v>0</v>
      </c>
      <c r="V47" s="27">
        <f>'Arrival to Regie'!CO19</f>
        <v>200</v>
      </c>
      <c r="W47" s="27">
        <f>'Arrival to Regie'!CT19</f>
        <v>0</v>
      </c>
      <c r="X47" s="27">
        <f>'Arrival to Regie'!CY19</f>
        <v>200</v>
      </c>
      <c r="Y47" s="27">
        <f>'Arrival to Regie'!DD19</f>
        <v>0</v>
      </c>
      <c r="Z47" s="27">
        <f>'Arrival to Regie'!DI19</f>
        <v>200</v>
      </c>
      <c r="AA47" s="27">
        <f>'Arrival to Regie'!DN19</f>
        <v>0</v>
      </c>
      <c r="AB47" s="27">
        <f>'Arrival to Regie'!DS19</f>
        <v>100</v>
      </c>
      <c r="AC47" s="26">
        <f>SUM(Q47:AB47)</f>
        <v>1046</v>
      </c>
      <c r="AD47" s="27">
        <f>'Arrival to Regie'!DY19</f>
        <v>200</v>
      </c>
      <c r="AE47" s="27">
        <f>'Arrival to Regie'!ED19</f>
        <v>150</v>
      </c>
      <c r="AF47" s="27">
        <f>'Arrival to Regie'!EI19</f>
        <v>102</v>
      </c>
      <c r="AG47" s="27">
        <f>'Arrival to Regie'!EN19</f>
        <v>102</v>
      </c>
      <c r="AH47" s="27">
        <f>'Arrival to Regie'!ES19</f>
        <v>102</v>
      </c>
      <c r="AI47" s="27">
        <f>'Arrival to Regie'!EX19</f>
        <v>81.599999999999994</v>
      </c>
      <c r="AJ47" s="27">
        <f>'Arrival to Regie'!FC19</f>
        <v>102</v>
      </c>
      <c r="AK47" s="27">
        <f>'Arrival to Regie'!FH19</f>
        <v>102</v>
      </c>
      <c r="AL47" s="27">
        <f>'Arrival to Regie'!FM19</f>
        <v>71.400000000000006</v>
      </c>
      <c r="AM47" s="27">
        <f>'Arrival to Regie'!FR19</f>
        <v>71.400000000000006</v>
      </c>
      <c r="AN47" s="27">
        <f>'Arrival to Regie'!FW19</f>
        <v>71.400000000000006</v>
      </c>
      <c r="AO47" s="27">
        <f>'Arrival to Regie'!GB19</f>
        <v>71.400000000000006</v>
      </c>
      <c r="AP47" s="26">
        <f>SUM(AD47:AO47)</f>
        <v>1227.2000000000003</v>
      </c>
    </row>
    <row r="48" spans="2:42" x14ac:dyDescent="0.35">
      <c r="B48" s="163"/>
      <c r="C48" s="47" t="s">
        <v>58</v>
      </c>
      <c r="D48" s="72">
        <f t="shared" ref="D48:AB48" si="180">D43+D44+D47-D45</f>
        <v>0</v>
      </c>
      <c r="E48" s="72">
        <f t="shared" si="180"/>
        <v>0</v>
      </c>
      <c r="F48" s="72">
        <f t="shared" si="180"/>
        <v>211</v>
      </c>
      <c r="G48" s="72">
        <f t="shared" si="180"/>
        <v>114</v>
      </c>
      <c r="H48" s="72">
        <f t="shared" si="180"/>
        <v>54</v>
      </c>
      <c r="I48" s="72">
        <f t="shared" si="180"/>
        <v>0</v>
      </c>
      <c r="J48" s="72">
        <f t="shared" si="180"/>
        <v>0</v>
      </c>
      <c r="K48" s="72">
        <f t="shared" si="180"/>
        <v>223</v>
      </c>
      <c r="L48" s="48">
        <f t="shared" si="180"/>
        <v>0</v>
      </c>
      <c r="M48" s="48">
        <f t="shared" si="180"/>
        <v>0</v>
      </c>
      <c r="N48" s="48">
        <f t="shared" si="180"/>
        <v>16</v>
      </c>
      <c r="O48" s="48">
        <f t="shared" si="180"/>
        <v>123</v>
      </c>
      <c r="P48" s="26"/>
      <c r="Q48" s="48">
        <f t="shared" si="180"/>
        <v>139</v>
      </c>
      <c r="R48" s="48">
        <f t="shared" si="180"/>
        <v>118</v>
      </c>
      <c r="S48" s="48">
        <f t="shared" si="180"/>
        <v>97</v>
      </c>
      <c r="T48" s="48">
        <f t="shared" si="180"/>
        <v>192</v>
      </c>
      <c r="U48" s="48">
        <f t="shared" si="180"/>
        <v>92</v>
      </c>
      <c r="V48" s="48">
        <f t="shared" si="180"/>
        <v>192</v>
      </c>
      <c r="W48" s="48">
        <f t="shared" si="180"/>
        <v>92</v>
      </c>
      <c r="X48" s="48">
        <f t="shared" si="180"/>
        <v>192</v>
      </c>
      <c r="Y48" s="48">
        <f t="shared" si="180"/>
        <v>117</v>
      </c>
      <c r="Z48" s="48">
        <f t="shared" si="180"/>
        <v>242</v>
      </c>
      <c r="AA48" s="48">
        <f t="shared" si="180"/>
        <v>167</v>
      </c>
      <c r="AB48" s="48">
        <f t="shared" si="180"/>
        <v>192</v>
      </c>
      <c r="AC48" s="26"/>
      <c r="AD48" s="48">
        <f t="shared" ref="AD48:AO48" si="181">AD43+AD44+AD47-AD45</f>
        <v>192</v>
      </c>
      <c r="AE48" s="48">
        <f t="shared" si="181"/>
        <v>192</v>
      </c>
      <c r="AF48" s="48">
        <f t="shared" si="181"/>
        <v>268.5</v>
      </c>
      <c r="AG48" s="48">
        <f t="shared" si="181"/>
        <v>294</v>
      </c>
      <c r="AH48" s="48">
        <f t="shared" si="181"/>
        <v>294</v>
      </c>
      <c r="AI48" s="48">
        <f t="shared" si="181"/>
        <v>273.60000000000002</v>
      </c>
      <c r="AJ48" s="48">
        <f t="shared" si="181"/>
        <v>273.60000000000002</v>
      </c>
      <c r="AK48" s="48">
        <f t="shared" si="181"/>
        <v>273.60000000000002</v>
      </c>
      <c r="AL48" s="48">
        <f t="shared" si="181"/>
        <v>268.5</v>
      </c>
      <c r="AM48" s="48">
        <f t="shared" si="181"/>
        <v>263.39999999999998</v>
      </c>
      <c r="AN48" s="48">
        <f t="shared" si="181"/>
        <v>258.29999999999995</v>
      </c>
      <c r="AO48" s="48">
        <f t="shared" si="181"/>
        <v>253.19999999999993</v>
      </c>
      <c r="AP48" s="26"/>
    </row>
    <row r="49" spans="2:42" ht="15" thickBot="1" x14ac:dyDescent="0.4">
      <c r="B49" s="164"/>
      <c r="C49" s="34" t="s">
        <v>59</v>
      </c>
      <c r="D49" s="35">
        <f>IF(D48=0,0,IFERROR((((D48)/(AVERAGE(E45:F45)))*4.3),"∞"))</f>
        <v>0</v>
      </c>
      <c r="E49" s="35">
        <f t="shared" ref="E49" si="182">IF(E48=0,0,IFERROR((((E48)/(AVERAGE(F45:G45)))*4.3),"∞"))</f>
        <v>0</v>
      </c>
      <c r="F49" s="35">
        <f t="shared" ref="F49" si="183">IF(F48=0,0,IFERROR((((F48)/(AVERAGE(G45:H45)))*4.3),"∞"))</f>
        <v>11.55796178343949</v>
      </c>
      <c r="G49" s="35">
        <f t="shared" ref="G49" si="184">IF(G48=0,0,IFERROR((((G48)/(AVERAGE(H45:I45)))*4.3),"∞"))</f>
        <v>8.6</v>
      </c>
      <c r="H49" s="35">
        <f t="shared" ref="H49" si="185">IF(H48=0,0,IFERROR((((H48)/(AVERAGE(I45:J45)))*4.3),"∞"))</f>
        <v>8.6</v>
      </c>
      <c r="I49" s="35">
        <f t="shared" ref="I49" si="186">IF(I48=0,0,IFERROR((((I48)/(AVERAGE(J45:K45)))*4.3),"∞"))</f>
        <v>0</v>
      </c>
      <c r="J49" s="35">
        <f t="shared" ref="J49" si="187">IF(J48=0,0,IFERROR((((J48)/(AVERAGE(K45:L45)))*4.3),"∞"))</f>
        <v>0</v>
      </c>
      <c r="K49" s="35">
        <f t="shared" ref="K49" si="188">IF(K48=0,0,IFERROR((((K48)/(AVERAGE(L45:M45)))*4.3),"∞"))</f>
        <v>8.6</v>
      </c>
      <c r="L49" s="35">
        <f t="shared" ref="L49" si="189">IF(L48=0,0,IFERROR((((L48)/(AVERAGE(M45:N45)))*4.3),"∞"))</f>
        <v>0</v>
      </c>
      <c r="M49" s="35">
        <f t="shared" ref="M49" si="190">IF(M48=0,0,IFERROR((((M48)/(AVERAGE(N45:O45)))*4.3),"∞"))</f>
        <v>0</v>
      </c>
      <c r="N49" s="35">
        <f>IF(N48=0,0,IFERROR((((N48)/(AVERAGE(O45,Q45)))*4.3),"∞"))</f>
        <v>0.83902439024390241</v>
      </c>
      <c r="O49" s="35">
        <f>IF(O48=0,0,IFERROR((((O48)/(AVERAGE(Q45:R45)))*4.3),"∞"))</f>
        <v>5.844198895027624</v>
      </c>
      <c r="P49" s="36"/>
      <c r="Q49" s="35">
        <f>IF(Q48=0,0,IFERROR((((Q48)/(AVERAGE(R45:S45)))*4.3),"∞"))</f>
        <v>28.461904761904758</v>
      </c>
      <c r="R49" s="35">
        <f t="shared" ref="R49" si="191">IF(R48=0,0,IFERROR((((R48)/(AVERAGE(S45:T45)))*4.3),"∞"))</f>
        <v>10.570833333333333</v>
      </c>
      <c r="S49" s="35">
        <f t="shared" ref="S49" si="192">IF(S48=0,0,IFERROR((((S48)/(AVERAGE(T45:U45)))*4.3),"∞"))</f>
        <v>4.7668571428571429</v>
      </c>
      <c r="T49" s="35">
        <f t="shared" ref="T49" si="193">IF(T48=0,0,IFERROR((((T48)/(AVERAGE(U45:V45)))*4.3),"∞"))</f>
        <v>8.2560000000000002</v>
      </c>
      <c r="U49" s="35">
        <f t="shared" ref="U49" si="194">IF(U48=0,0,IFERROR((((U48)/(AVERAGE(V45:W45)))*4.3),"∞"))</f>
        <v>3.956</v>
      </c>
      <c r="V49" s="35">
        <f t="shared" ref="V49" si="195">IF(V48=0,0,IFERROR((((V48)/(AVERAGE(W45:X45)))*4.3),"∞"))</f>
        <v>8.2560000000000002</v>
      </c>
      <c r="W49" s="35">
        <f t="shared" ref="W49" si="196">IF(W48=0,0,IFERROR((((W48)/(AVERAGE(X45:Y45)))*4.3),"∞"))</f>
        <v>4.5211428571428565</v>
      </c>
      <c r="X49" s="35">
        <f t="shared" ref="X49" si="197">IF(X48=0,0,IFERROR((((X48)/(AVERAGE(Y45:Z45)))*4.3),"∞"))</f>
        <v>11.007999999999999</v>
      </c>
      <c r="Y49" s="35">
        <f t="shared" ref="Y49" si="198">IF(Y48=0,0,IFERROR((((Y48)/(AVERAGE(Z45:AA45)))*4.3),"∞"))</f>
        <v>6.7080000000000002</v>
      </c>
      <c r="Z49" s="35">
        <f t="shared" ref="Z49" si="199">IF(Z48=0,0,IFERROR((((Z48)/(AVERAGE(AA45:AB45)))*4.3),"∞"))</f>
        <v>13.874666666666666</v>
      </c>
      <c r="AA49" s="35">
        <f>IF(AA48=0,0,IFERROR((((AA48)/(AVERAGE(AB45,AD45)))*4.3),"∞"))</f>
        <v>5.2225454545454548</v>
      </c>
      <c r="AB49" s="35">
        <f>IF(AB48=0,0,IFERROR((((AB48)/(AVERAGE(AD45:AE45)))*4.3),"∞"))</f>
        <v>4.717714285714286</v>
      </c>
      <c r="AC49" s="36"/>
      <c r="AD49" s="35">
        <f>IF(AD48=0,0,IFERROR((((AD48)/(AVERAGE(AE45:AF45)))*4.3),"∞"))</f>
        <v>9.4085470085470089</v>
      </c>
      <c r="AE49" s="35">
        <f t="shared" ref="AE49" si="200">IF(AE48=0,0,IFERROR((((AE48)/(AVERAGE(AF45:AG45)))*4.3),"∞"))</f>
        <v>16.188235294117646</v>
      </c>
      <c r="AF49" s="35">
        <f t="shared" ref="AF49" si="201">IF(AF48=0,0,IFERROR((((AF48)/(AVERAGE(AG45:AH45)))*4.3),"∞"))</f>
        <v>12.936134453781511</v>
      </c>
      <c r="AG49" s="35">
        <f t="shared" ref="AG49" si="202">IF(AG48=0,0,IFERROR((((AG48)/(AVERAGE(AH45:AI45)))*4.3),"∞"))</f>
        <v>12.394117647058822</v>
      </c>
      <c r="AH49" s="35">
        <f t="shared" ref="AH49" si="203">IF(AH48=0,0,IFERROR((((AH48)/(AVERAGE(AI45:AJ45)))*4.3),"∞"))</f>
        <v>12.394117647058822</v>
      </c>
      <c r="AI49" s="35">
        <f t="shared" ref="AI49" si="204">IF(AI48=0,0,IFERROR((((AI48)/(AVERAGE(AJ45:AK45)))*4.3),"∞"))</f>
        <v>11.534117647058824</v>
      </c>
      <c r="AJ49" s="35">
        <f t="shared" ref="AJ49" si="205">IF(AJ48=0,0,IFERROR((((AJ48)/(AVERAGE(AK45:AL45)))*4.3),"∞"))</f>
        <v>13.181848739495798</v>
      </c>
      <c r="AK49" s="35">
        <f t="shared" ref="AK49" si="206">IF(AK48=0,0,IFERROR((((AK48)/(AVERAGE(AL45:AM45)))*4.3),"∞"))</f>
        <v>15.378823529411765</v>
      </c>
      <c r="AL49" s="35">
        <f t="shared" ref="AL49" si="207">IF(AL48=0,0,IFERROR((((AL48)/(AVERAGE(AM45:AN45)))*4.3),"∞"))</f>
        <v>15.092156862745098</v>
      </c>
      <c r="AM49" s="35">
        <f t="shared" ref="AM49" si="208">IF(AM48=0,0,IFERROR((((AM48)/(AVERAGE(AN45:AO45)))*4.3),"∞"))</f>
        <v>14.805490196078429</v>
      </c>
      <c r="AN49" s="35">
        <f>IF(AN48=0,0,IFERROR((((AN48)/(AVERAGE(AO45,AQ45)))*4.3),"∞"))</f>
        <v>14.518823529411762</v>
      </c>
      <c r="AO49" s="35" t="str">
        <f>IF(AO48=0,0,IFERROR((((AO48)/(AVERAGE(AQ45:AR45)))*4.3),"∞"))</f>
        <v>∞</v>
      </c>
      <c r="AP49" s="36"/>
    </row>
    <row r="50" spans="2:42" s="23" customFormat="1" ht="15" thickBot="1" x14ac:dyDescent="0.4">
      <c r="B50" s="22"/>
      <c r="D50" s="74"/>
      <c r="E50" s="74"/>
      <c r="F50" s="74"/>
      <c r="G50" s="74"/>
      <c r="H50" s="74"/>
      <c r="I50" s="74"/>
      <c r="J50" s="74"/>
      <c r="K50" s="74"/>
      <c r="L50" s="24"/>
      <c r="M50" s="24"/>
      <c r="N50" s="24"/>
      <c r="O50" s="24"/>
      <c r="P50" s="25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5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5"/>
    </row>
    <row r="51" spans="2:42" ht="14.5" customHeight="1" x14ac:dyDescent="0.35">
      <c r="B51" s="162" t="str">
        <f>'IMS vs FRCST'!B19</f>
        <v>Al Fakher Gum  50g</v>
      </c>
      <c r="C51" s="21" t="s">
        <v>53</v>
      </c>
      <c r="D51" s="70">
        <v>136</v>
      </c>
      <c r="E51" s="70">
        <f t="shared" ref="E51" si="209">D56</f>
        <v>116</v>
      </c>
      <c r="F51" s="70">
        <f t="shared" ref="F51:O51" si="210">E56</f>
        <v>105</v>
      </c>
      <c r="G51" s="70">
        <f t="shared" si="210"/>
        <v>297</v>
      </c>
      <c r="H51" s="70">
        <f t="shared" si="210"/>
        <v>284</v>
      </c>
      <c r="I51" s="70">
        <f t="shared" si="210"/>
        <v>278</v>
      </c>
      <c r="J51" s="70">
        <f t="shared" si="210"/>
        <v>261</v>
      </c>
      <c r="K51" s="70">
        <f t="shared" si="210"/>
        <v>228</v>
      </c>
      <c r="L51" s="32">
        <f t="shared" si="210"/>
        <v>227</v>
      </c>
      <c r="M51" s="32">
        <f t="shared" si="210"/>
        <v>199</v>
      </c>
      <c r="N51" s="32">
        <f t="shared" si="210"/>
        <v>125</v>
      </c>
      <c r="O51" s="32">
        <f t="shared" si="210"/>
        <v>81</v>
      </c>
      <c r="P51" s="33"/>
      <c r="Q51" s="32">
        <f>O56</f>
        <v>77</v>
      </c>
      <c r="R51" s="32">
        <f t="shared" ref="R51:AB51" si="211">Q56</f>
        <v>27</v>
      </c>
      <c r="S51" s="32">
        <f t="shared" si="211"/>
        <v>25</v>
      </c>
      <c r="T51" s="32">
        <f t="shared" si="211"/>
        <v>19</v>
      </c>
      <c r="U51" s="32">
        <f t="shared" si="211"/>
        <v>69</v>
      </c>
      <c r="V51" s="32">
        <f t="shared" si="211"/>
        <v>119</v>
      </c>
      <c r="W51" s="32">
        <f t="shared" si="211"/>
        <v>79</v>
      </c>
      <c r="X51" s="32">
        <f t="shared" si="211"/>
        <v>89</v>
      </c>
      <c r="Y51" s="32">
        <f t="shared" si="211"/>
        <v>49</v>
      </c>
      <c r="Z51" s="32">
        <f t="shared" si="211"/>
        <v>84</v>
      </c>
      <c r="AA51" s="32">
        <f t="shared" si="211"/>
        <v>54</v>
      </c>
      <c r="AB51" s="32">
        <f t="shared" si="211"/>
        <v>74</v>
      </c>
      <c r="AC51" s="33"/>
      <c r="AD51" s="32">
        <f>AB56</f>
        <v>54</v>
      </c>
      <c r="AE51" s="32">
        <f t="shared" ref="AE51" si="212">AD56</f>
        <v>54</v>
      </c>
      <c r="AF51" s="32">
        <f t="shared" ref="AF51" si="213">AE56</f>
        <v>54</v>
      </c>
      <c r="AG51" s="32">
        <f t="shared" ref="AG51" si="214">AF56</f>
        <v>87.66</v>
      </c>
      <c r="AH51" s="32">
        <f t="shared" ref="AH51" si="215">AG56</f>
        <v>77.45999999999998</v>
      </c>
      <c r="AI51" s="32">
        <f t="shared" ref="AI51" si="216">AH56</f>
        <v>67.259999999999977</v>
      </c>
      <c r="AJ51" s="32">
        <f t="shared" ref="AJ51" si="217">AI56</f>
        <v>67.259999999999977</v>
      </c>
      <c r="AK51" s="32">
        <f t="shared" ref="AK51" si="218">AJ56</f>
        <v>67.259999999999977</v>
      </c>
      <c r="AL51" s="32">
        <f t="shared" ref="AL51" si="219">AK56</f>
        <v>67.259999999999977</v>
      </c>
      <c r="AM51" s="32">
        <f t="shared" ref="AM51" si="220">AL56</f>
        <v>67.259999999999977</v>
      </c>
      <c r="AN51" s="32">
        <f t="shared" ref="AN51" si="221">AM56</f>
        <v>67.259999999999991</v>
      </c>
      <c r="AO51" s="32">
        <f t="shared" ref="AO51" si="222">AN56</f>
        <v>67.259999999999991</v>
      </c>
      <c r="AP51" s="33"/>
    </row>
    <row r="52" spans="2:42" x14ac:dyDescent="0.35">
      <c r="B52" s="163"/>
      <c r="C52" s="4" t="s">
        <v>54</v>
      </c>
      <c r="D52" s="71"/>
      <c r="E52" s="71"/>
      <c r="F52" s="71"/>
      <c r="G52" s="71"/>
      <c r="H52" s="71"/>
      <c r="I52" s="71"/>
      <c r="J52" s="71"/>
      <c r="K52" s="71"/>
      <c r="L52" s="27"/>
      <c r="M52" s="27"/>
      <c r="N52" s="27"/>
      <c r="O52" s="27"/>
      <c r="P52" s="26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6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6"/>
    </row>
    <row r="53" spans="2:42" s="6" customFormat="1" x14ac:dyDescent="0.35">
      <c r="B53" s="163"/>
      <c r="C53" s="42" t="s">
        <v>55</v>
      </c>
      <c r="D53" s="44">
        <f>'IMS vs FRCST'!C19</f>
        <v>20</v>
      </c>
      <c r="E53" s="44">
        <f>'IMS vs FRCST'!D19</f>
        <v>11</v>
      </c>
      <c r="F53" s="44">
        <f>'IMS vs FRCST'!E19</f>
        <v>1</v>
      </c>
      <c r="G53" s="44">
        <f>'IMS vs FRCST'!F19</f>
        <v>13</v>
      </c>
      <c r="H53" s="44">
        <f>'IMS vs FRCST'!G19</f>
        <v>6</v>
      </c>
      <c r="I53" s="44">
        <f>'IMS vs FRCST'!H19</f>
        <v>17</v>
      </c>
      <c r="J53" s="44">
        <f>'IMS vs FRCST'!I19</f>
        <v>33</v>
      </c>
      <c r="K53" s="44">
        <f>'IMS vs FRCST'!J19</f>
        <v>1</v>
      </c>
      <c r="L53" s="43">
        <f>'IMS vs FRCST'!K19</f>
        <v>28</v>
      </c>
      <c r="M53" s="43">
        <f>'IMS vs FRCST'!L19</f>
        <v>74</v>
      </c>
      <c r="N53" s="43">
        <f>'IMS vs FRCST'!M19</f>
        <v>44</v>
      </c>
      <c r="O53" s="43">
        <f>'IMS vs FRCST'!N19</f>
        <v>4</v>
      </c>
      <c r="P53" s="26">
        <f>SUM(D53:O53)</f>
        <v>252</v>
      </c>
      <c r="Q53" s="28">
        <f>'IMS vs FRCST'!P19</f>
        <v>50</v>
      </c>
      <c r="R53" s="28">
        <f>'IMS vs FRCST'!Q19</f>
        <v>2</v>
      </c>
      <c r="S53" s="28">
        <f>'IMS vs FRCST'!R19</f>
        <v>6</v>
      </c>
      <c r="T53" s="28">
        <f>'IMS vs FRCST'!S19</f>
        <v>50</v>
      </c>
      <c r="U53" s="28">
        <f>'IMS vs FRCST'!T19</f>
        <v>50</v>
      </c>
      <c r="V53" s="28">
        <f>'IMS vs FRCST'!U19</f>
        <v>40</v>
      </c>
      <c r="W53" s="28">
        <f>'IMS vs FRCST'!V19</f>
        <v>40</v>
      </c>
      <c r="X53" s="28">
        <f>'IMS vs FRCST'!W19</f>
        <v>40</v>
      </c>
      <c r="Y53" s="28">
        <f>'IMS vs FRCST'!X19</f>
        <v>40</v>
      </c>
      <c r="Z53" s="28">
        <f>'IMS vs FRCST'!Y19</f>
        <v>30</v>
      </c>
      <c r="AA53" s="28">
        <f>'IMS vs FRCST'!Z19</f>
        <v>30</v>
      </c>
      <c r="AB53" s="28">
        <f>'IMS vs FRCST'!AA19</f>
        <v>20</v>
      </c>
      <c r="AC53" s="26">
        <f>SUM(Q53:AB53)</f>
        <v>398</v>
      </c>
      <c r="AD53" s="28">
        <f>'IMS vs FRCST'!AC19</f>
        <v>20</v>
      </c>
      <c r="AE53" s="28">
        <f>'IMS vs FRCST'!AD19</f>
        <v>20</v>
      </c>
      <c r="AF53" s="28">
        <f>'IMS vs FRCST'!AE19</f>
        <v>7.14</v>
      </c>
      <c r="AG53" s="28">
        <f>'IMS vs FRCST'!AF19</f>
        <v>51</v>
      </c>
      <c r="AH53" s="28">
        <f>'IMS vs FRCST'!AG19</f>
        <v>51</v>
      </c>
      <c r="AI53" s="28">
        <f>'IMS vs FRCST'!AH19</f>
        <v>40.799999999999997</v>
      </c>
      <c r="AJ53" s="28">
        <f>'IMS vs FRCST'!AI19</f>
        <v>40.799999999999997</v>
      </c>
      <c r="AK53" s="28">
        <f>'IMS vs FRCST'!AJ19</f>
        <v>40.799999999999997</v>
      </c>
      <c r="AL53" s="28">
        <f>'IMS vs FRCST'!AK19</f>
        <v>40.799999999999997</v>
      </c>
      <c r="AM53" s="28">
        <f>'IMS vs FRCST'!AL19</f>
        <v>30.6</v>
      </c>
      <c r="AN53" s="28">
        <f>'IMS vs FRCST'!AM19</f>
        <v>30.6</v>
      </c>
      <c r="AO53" s="28">
        <f>'IMS vs FRCST'!AN19</f>
        <v>20.399999999999999</v>
      </c>
      <c r="AP53" s="26">
        <f>SUM(AD53:AO53)</f>
        <v>393.94000000000005</v>
      </c>
    </row>
    <row r="54" spans="2:42" x14ac:dyDescent="0.35">
      <c r="B54" s="163"/>
      <c r="C54" s="4" t="s">
        <v>56</v>
      </c>
      <c r="D54" s="71">
        <f>'Shipment (Production)'!G20</f>
        <v>0</v>
      </c>
      <c r="E54" s="71">
        <f>'Shipment (Production)'!L20</f>
        <v>0</v>
      </c>
      <c r="F54" s="71">
        <f>'Shipment (Production)'!Q20</f>
        <v>193</v>
      </c>
      <c r="G54" s="71">
        <f>'Shipment (Production)'!V20</f>
        <v>0</v>
      </c>
      <c r="H54" s="71">
        <f>'Shipment (Production)'!AA20</f>
        <v>0</v>
      </c>
      <c r="I54" s="71">
        <f>'Shipment (Production)'!AF20</f>
        <v>0</v>
      </c>
      <c r="J54" s="71">
        <f>'Shipment (Production)'!AK20</f>
        <v>0</v>
      </c>
      <c r="K54" s="71">
        <f>'Shipment (Production)'!AP20</f>
        <v>0</v>
      </c>
      <c r="L54" s="27">
        <f>'Shipment (Production)'!AU20</f>
        <v>0</v>
      </c>
      <c r="M54" s="27">
        <f>'Shipment (Production)'!AZ20</f>
        <v>0</v>
      </c>
      <c r="N54" s="27">
        <f>'Shipment (Production)'!BE20</f>
        <v>0</v>
      </c>
      <c r="O54" s="27">
        <f>'Shipment (Production)'!BJ20</f>
        <v>0</v>
      </c>
      <c r="P54" s="26">
        <f>SUM(D54:O54)</f>
        <v>193</v>
      </c>
      <c r="Q54" s="27">
        <f>'Shipment (Production)'!BP20</f>
        <v>0</v>
      </c>
      <c r="R54" s="27">
        <f>'Shipment (Production)'!BU20</f>
        <v>0</v>
      </c>
      <c r="S54" s="27">
        <f>'Shipment (Production)'!BZ20</f>
        <v>100</v>
      </c>
      <c r="T54" s="27">
        <f>'Shipment (Production)'!CE20</f>
        <v>100</v>
      </c>
      <c r="U54" s="27">
        <f>'Shipment (Production)'!CJ20</f>
        <v>0</v>
      </c>
      <c r="V54" s="27">
        <f>'Shipment (Production)'!CO20</f>
        <v>0</v>
      </c>
      <c r="W54" s="27">
        <f>'Shipment (Production)'!CT20</f>
        <v>50</v>
      </c>
      <c r="X54" s="27">
        <f>'Shipment (Production)'!CY20</f>
        <v>75</v>
      </c>
      <c r="Y54" s="27">
        <f>'Shipment (Production)'!DD20</f>
        <v>0</v>
      </c>
      <c r="Z54" s="27">
        <f>'Shipment (Production)'!DI20</f>
        <v>0</v>
      </c>
      <c r="AA54" s="27">
        <f>'Shipment (Production)'!DN20</f>
        <v>50</v>
      </c>
      <c r="AB54" s="27">
        <f>'Shipment (Production)'!DS20</f>
        <v>0</v>
      </c>
      <c r="AC54" s="26">
        <f>SUM(Q54:AB54)</f>
        <v>375</v>
      </c>
      <c r="AD54" s="27">
        <f>'Shipment (Production)'!DY20</f>
        <v>20</v>
      </c>
      <c r="AE54" s="27">
        <f>'Shipment (Production)'!ED20</f>
        <v>20</v>
      </c>
      <c r="AF54" s="27">
        <f>'Shipment (Production)'!EI20</f>
        <v>40.799999999999997</v>
      </c>
      <c r="AG54" s="27">
        <f>'Shipment (Production)'!EN20</f>
        <v>40.799999999999997</v>
      </c>
      <c r="AH54" s="27">
        <f>'Shipment (Production)'!ES20</f>
        <v>40.799999999999997</v>
      </c>
      <c r="AI54" s="27">
        <f>'Shipment (Production)'!EX20</f>
        <v>40.799999999999997</v>
      </c>
      <c r="AJ54" s="27">
        <f>'Shipment (Production)'!FC20</f>
        <v>40.799999999999997</v>
      </c>
      <c r="AK54" s="27">
        <f>'Shipment (Production)'!FH20</f>
        <v>40.799999999999997</v>
      </c>
      <c r="AL54" s="27">
        <f>'Shipment (Production)'!FM20</f>
        <v>40.799999999999997</v>
      </c>
      <c r="AM54" s="27">
        <f>'Shipment (Production)'!FR20</f>
        <v>30.6</v>
      </c>
      <c r="AN54" s="27">
        <f>'Shipment (Production)'!FW20</f>
        <v>30.6</v>
      </c>
      <c r="AO54" s="27">
        <f>'Shipment (Production)'!GB20</f>
        <v>30.6</v>
      </c>
      <c r="AP54" s="26">
        <f>SUM(AD54:AO54)</f>
        <v>417.40000000000009</v>
      </c>
    </row>
    <row r="55" spans="2:42" x14ac:dyDescent="0.35">
      <c r="B55" s="163"/>
      <c r="C55" s="4" t="s">
        <v>57</v>
      </c>
      <c r="D55" s="71">
        <f>'Arrival to Regie'!G20</f>
        <v>0</v>
      </c>
      <c r="E55" s="71">
        <f>'Arrival to Regie'!L20</f>
        <v>0</v>
      </c>
      <c r="F55" s="71">
        <f>'Arrival to Regie'!Q20</f>
        <v>193</v>
      </c>
      <c r="G55" s="71">
        <f>'Arrival to Regie'!V20</f>
        <v>0</v>
      </c>
      <c r="H55" s="71">
        <f>'Arrival to Regie'!AA20</f>
        <v>0</v>
      </c>
      <c r="I55" s="71">
        <f>'Arrival to Regie'!AF20</f>
        <v>0</v>
      </c>
      <c r="J55" s="71">
        <f>'Arrival to Regie'!AK20</f>
        <v>0</v>
      </c>
      <c r="K55" s="71">
        <f>'Arrival to Regie'!AP20</f>
        <v>0</v>
      </c>
      <c r="L55" s="27">
        <f>'Arrival to Regie'!AU20</f>
        <v>0</v>
      </c>
      <c r="M55" s="27">
        <f>'Arrival to Regie'!AZ20</f>
        <v>0</v>
      </c>
      <c r="N55" s="27">
        <f>'Arrival to Regie'!BE20</f>
        <v>0</v>
      </c>
      <c r="O55" s="27">
        <f>'Arrival to Regie'!BJ20</f>
        <v>0</v>
      </c>
      <c r="P55" s="26">
        <f>SUM(D55:O55)</f>
        <v>193</v>
      </c>
      <c r="Q55" s="27">
        <f>'Arrival to Regie'!BP20</f>
        <v>0</v>
      </c>
      <c r="R55" s="27">
        <f>'Arrival to Regie'!BU20</f>
        <v>0</v>
      </c>
      <c r="S55" s="27">
        <f>'Arrival to Regie'!BZ20</f>
        <v>0</v>
      </c>
      <c r="T55" s="27">
        <f>'Arrival to Regie'!CE20</f>
        <v>100</v>
      </c>
      <c r="U55" s="27">
        <f>'Arrival to Regie'!CJ20</f>
        <v>100</v>
      </c>
      <c r="V55" s="27">
        <f>'Arrival to Regie'!CO20</f>
        <v>0</v>
      </c>
      <c r="W55" s="27">
        <f>'Arrival to Regie'!CT20</f>
        <v>50</v>
      </c>
      <c r="X55" s="27">
        <f>'Arrival to Regie'!CY20</f>
        <v>0</v>
      </c>
      <c r="Y55" s="27">
        <f>'Arrival to Regie'!DD20</f>
        <v>75</v>
      </c>
      <c r="Z55" s="27">
        <f>'Arrival to Regie'!DI20</f>
        <v>0</v>
      </c>
      <c r="AA55" s="27">
        <f>'Arrival to Regie'!DN20</f>
        <v>50</v>
      </c>
      <c r="AB55" s="27">
        <f>'Arrival to Regie'!DS20</f>
        <v>0</v>
      </c>
      <c r="AC55" s="26">
        <f>SUM(Q55:AB55)</f>
        <v>375</v>
      </c>
      <c r="AD55" s="27">
        <f>'Arrival to Regie'!DY20</f>
        <v>20</v>
      </c>
      <c r="AE55" s="27">
        <f>'Arrival to Regie'!ED20</f>
        <v>20</v>
      </c>
      <c r="AF55" s="27">
        <f>'Arrival to Regie'!EI20</f>
        <v>40.799999999999997</v>
      </c>
      <c r="AG55" s="27">
        <f>'Arrival to Regie'!EN20</f>
        <v>40.799999999999997</v>
      </c>
      <c r="AH55" s="27">
        <f>'Arrival to Regie'!ES20</f>
        <v>40.799999999999997</v>
      </c>
      <c r="AI55" s="27">
        <f>'Arrival to Regie'!EX20</f>
        <v>40.799999999999997</v>
      </c>
      <c r="AJ55" s="27">
        <f>'Arrival to Regie'!FC20</f>
        <v>40.799999999999997</v>
      </c>
      <c r="AK55" s="27">
        <f>'Arrival to Regie'!FH20</f>
        <v>40.799999999999997</v>
      </c>
      <c r="AL55" s="27">
        <f>'Arrival to Regie'!FM20</f>
        <v>40.799999999999997</v>
      </c>
      <c r="AM55" s="27">
        <f>'Arrival to Regie'!FR20</f>
        <v>30.6</v>
      </c>
      <c r="AN55" s="27">
        <f>'Arrival to Regie'!FW20</f>
        <v>30.6</v>
      </c>
      <c r="AO55" s="27">
        <f>'Arrival to Regie'!GB20</f>
        <v>30.6</v>
      </c>
      <c r="AP55" s="26">
        <f>SUM(AD55:AO55)</f>
        <v>417.40000000000009</v>
      </c>
    </row>
    <row r="56" spans="2:42" x14ac:dyDescent="0.35">
      <c r="B56" s="163"/>
      <c r="C56" s="47" t="s">
        <v>58</v>
      </c>
      <c r="D56" s="72">
        <f t="shared" ref="D56:AB56" si="223">D51+D52+D55-D53</f>
        <v>116</v>
      </c>
      <c r="E56" s="72">
        <f t="shared" si="223"/>
        <v>105</v>
      </c>
      <c r="F56" s="72">
        <f t="shared" si="223"/>
        <v>297</v>
      </c>
      <c r="G56" s="72">
        <f t="shared" si="223"/>
        <v>284</v>
      </c>
      <c r="H56" s="72">
        <f t="shared" si="223"/>
        <v>278</v>
      </c>
      <c r="I56" s="72">
        <f t="shared" si="223"/>
        <v>261</v>
      </c>
      <c r="J56" s="72">
        <f t="shared" si="223"/>
        <v>228</v>
      </c>
      <c r="K56" s="72">
        <f t="shared" si="223"/>
        <v>227</v>
      </c>
      <c r="L56" s="48">
        <f t="shared" si="223"/>
        <v>199</v>
      </c>
      <c r="M56" s="48">
        <f t="shared" si="223"/>
        <v>125</v>
      </c>
      <c r="N56" s="48">
        <f t="shared" si="223"/>
        <v>81</v>
      </c>
      <c r="O56" s="48">
        <f t="shared" si="223"/>
        <v>77</v>
      </c>
      <c r="P56" s="26"/>
      <c r="Q56" s="48">
        <f t="shared" si="223"/>
        <v>27</v>
      </c>
      <c r="R56" s="48">
        <f t="shared" si="223"/>
        <v>25</v>
      </c>
      <c r="S56" s="48">
        <f t="shared" si="223"/>
        <v>19</v>
      </c>
      <c r="T56" s="48">
        <f t="shared" si="223"/>
        <v>69</v>
      </c>
      <c r="U56" s="48">
        <f t="shared" si="223"/>
        <v>119</v>
      </c>
      <c r="V56" s="48">
        <f t="shared" si="223"/>
        <v>79</v>
      </c>
      <c r="W56" s="48">
        <f t="shared" si="223"/>
        <v>89</v>
      </c>
      <c r="X56" s="48">
        <f t="shared" si="223"/>
        <v>49</v>
      </c>
      <c r="Y56" s="48">
        <f t="shared" si="223"/>
        <v>84</v>
      </c>
      <c r="Z56" s="48">
        <f t="shared" si="223"/>
        <v>54</v>
      </c>
      <c r="AA56" s="48">
        <f t="shared" si="223"/>
        <v>74</v>
      </c>
      <c r="AB56" s="48">
        <f t="shared" si="223"/>
        <v>54</v>
      </c>
      <c r="AC56" s="26"/>
      <c r="AD56" s="48">
        <f t="shared" ref="AD56:AO56" si="224">AD51+AD52+AD55-AD53</f>
        <v>54</v>
      </c>
      <c r="AE56" s="48">
        <f t="shared" si="224"/>
        <v>54</v>
      </c>
      <c r="AF56" s="48">
        <f t="shared" si="224"/>
        <v>87.66</v>
      </c>
      <c r="AG56" s="48">
        <f t="shared" si="224"/>
        <v>77.45999999999998</v>
      </c>
      <c r="AH56" s="48">
        <f t="shared" si="224"/>
        <v>67.259999999999977</v>
      </c>
      <c r="AI56" s="48">
        <f t="shared" si="224"/>
        <v>67.259999999999977</v>
      </c>
      <c r="AJ56" s="48">
        <f t="shared" si="224"/>
        <v>67.259999999999977</v>
      </c>
      <c r="AK56" s="48">
        <f t="shared" si="224"/>
        <v>67.259999999999977</v>
      </c>
      <c r="AL56" s="48">
        <f t="shared" si="224"/>
        <v>67.259999999999977</v>
      </c>
      <c r="AM56" s="48">
        <f t="shared" si="224"/>
        <v>67.259999999999991</v>
      </c>
      <c r="AN56" s="48">
        <f t="shared" si="224"/>
        <v>67.259999999999991</v>
      </c>
      <c r="AO56" s="48">
        <f t="shared" si="224"/>
        <v>77.45999999999998</v>
      </c>
      <c r="AP56" s="26"/>
    </row>
    <row r="57" spans="2:42" ht="15" thickBot="1" x14ac:dyDescent="0.4">
      <c r="B57" s="164"/>
      <c r="C57" s="34" t="s">
        <v>59</v>
      </c>
      <c r="D57" s="35">
        <f>IF(D56=0,0,IFERROR((((D56)/(AVERAGE(E53:F53)))*4.3),"∞"))</f>
        <v>83.133333333333326</v>
      </c>
      <c r="E57" s="35">
        <f t="shared" ref="E57" si="225">IF(E56=0,0,IFERROR((((E56)/(AVERAGE(F53:G53)))*4.3),"∞"))</f>
        <v>64.5</v>
      </c>
      <c r="F57" s="35">
        <f t="shared" ref="F57" si="226">IF(F56=0,0,IFERROR((((F56)/(AVERAGE(G53:H53)))*4.3),"∞"))</f>
        <v>134.43157894736842</v>
      </c>
      <c r="G57" s="35">
        <f t="shared" ref="G57" si="227">IF(G56=0,0,IFERROR((((G56)/(AVERAGE(H53:I53)))*4.3),"∞"))</f>
        <v>106.19130434782608</v>
      </c>
      <c r="H57" s="35">
        <f t="shared" ref="H57" si="228">IF(H56=0,0,IFERROR((((H56)/(AVERAGE(I53:J53)))*4.3),"∞"))</f>
        <v>47.815999999999995</v>
      </c>
      <c r="I57" s="35">
        <f t="shared" ref="I57" si="229">IF(I56=0,0,IFERROR((((I56)/(AVERAGE(J53:K53)))*4.3),"∞"))</f>
        <v>66.017647058823528</v>
      </c>
      <c r="J57" s="35">
        <f t="shared" ref="J57" si="230">IF(J56=0,0,IFERROR((((J56)/(AVERAGE(K53:L53)))*4.3),"∞"))</f>
        <v>67.613793103448273</v>
      </c>
      <c r="K57" s="35">
        <f t="shared" ref="K57" si="231">IF(K56=0,0,IFERROR((((K56)/(AVERAGE(L53:M53)))*4.3),"∞"))</f>
        <v>19.139215686274511</v>
      </c>
      <c r="L57" s="35">
        <f t="shared" ref="L57" si="232">IF(L56=0,0,IFERROR((((L56)/(AVERAGE(M53:N53)))*4.3),"∞"))</f>
        <v>14.503389830508473</v>
      </c>
      <c r="M57" s="35">
        <f t="shared" ref="M57" si="233">IF(M56=0,0,IFERROR((((M56)/(AVERAGE(N53:O53)))*4.3),"∞"))</f>
        <v>22.395833333333332</v>
      </c>
      <c r="N57" s="35">
        <f>IF(N56=0,0,IFERROR((((N56)/(AVERAGE(O53,Q53)))*4.3),"∞"))</f>
        <v>12.899999999999999</v>
      </c>
      <c r="O57" s="35">
        <f>IF(O56=0,0,IFERROR((((O56)/(AVERAGE(Q53:R53)))*4.3),"∞"))</f>
        <v>12.734615384615385</v>
      </c>
      <c r="P57" s="36"/>
      <c r="Q57" s="35">
        <f>IF(Q56=0,0,IFERROR((((Q56)/(AVERAGE(R53:S53)))*4.3),"∞"))</f>
        <v>29.024999999999999</v>
      </c>
      <c r="R57" s="35">
        <f t="shared" ref="R57" si="234">IF(R56=0,0,IFERROR((((R56)/(AVERAGE(S53:T53)))*4.3),"∞"))</f>
        <v>3.8392857142857144</v>
      </c>
      <c r="S57" s="35">
        <f t="shared" ref="S57" si="235">IF(S56=0,0,IFERROR((((S56)/(AVERAGE(T53:U53)))*4.3),"∞"))</f>
        <v>1.6339999999999999</v>
      </c>
      <c r="T57" s="35">
        <f t="shared" ref="T57" si="236">IF(T56=0,0,IFERROR((((T56)/(AVERAGE(U53:V53)))*4.3),"∞"))</f>
        <v>6.5933333333333337</v>
      </c>
      <c r="U57" s="35">
        <f t="shared" ref="U57" si="237">IF(U56=0,0,IFERROR((((U56)/(AVERAGE(V53:W53)))*4.3),"∞"))</f>
        <v>12.7925</v>
      </c>
      <c r="V57" s="35">
        <f t="shared" ref="V57" si="238">IF(V56=0,0,IFERROR((((V56)/(AVERAGE(W53:X53)))*4.3),"∞"))</f>
        <v>8.4924999999999997</v>
      </c>
      <c r="W57" s="35">
        <f t="shared" ref="W57" si="239">IF(W56=0,0,IFERROR((((W56)/(AVERAGE(X53:Y53)))*4.3),"∞"))</f>
        <v>9.5675000000000008</v>
      </c>
      <c r="X57" s="35">
        <f t="shared" ref="X57" si="240">IF(X56=0,0,IFERROR((((X56)/(AVERAGE(Y53:Z53)))*4.3),"∞"))</f>
        <v>6.02</v>
      </c>
      <c r="Y57" s="35">
        <f t="shared" ref="Y57" si="241">IF(Y56=0,0,IFERROR((((Y56)/(AVERAGE(Z53:AA53)))*4.3),"∞"))</f>
        <v>12.04</v>
      </c>
      <c r="Z57" s="35">
        <f t="shared" ref="Z57" si="242">IF(Z56=0,0,IFERROR((((Z56)/(AVERAGE(AA53:AB53)))*4.3),"∞"))</f>
        <v>9.2880000000000003</v>
      </c>
      <c r="AA57" s="35">
        <f>IF(AA56=0,0,IFERROR((((AA56)/(AVERAGE(AB53,AD53)))*4.3),"∞"))</f>
        <v>15.91</v>
      </c>
      <c r="AB57" s="35">
        <f>IF(AB56=0,0,IFERROR((((AB56)/(AVERAGE(AD53:AE53)))*4.3),"∞"))</f>
        <v>11.61</v>
      </c>
      <c r="AC57" s="36"/>
      <c r="AD57" s="35">
        <f>IF(AD56=0,0,IFERROR((((AD56)/(AVERAGE(AE53:AF53)))*4.3),"∞"))</f>
        <v>17.111274871039054</v>
      </c>
      <c r="AE57" s="35">
        <f t="shared" ref="AE57" si="243">IF(AE56=0,0,IFERROR((((AE56)/(AVERAGE(AF53:AG53)))*4.3),"∞"))</f>
        <v>7.9876160990712064</v>
      </c>
      <c r="AF57" s="35">
        <f t="shared" ref="AF57" si="244">IF(AF56=0,0,IFERROR((((AF56)/(AVERAGE(AG53:AH53)))*4.3),"∞"))</f>
        <v>7.3909411764705872</v>
      </c>
      <c r="AG57" s="35">
        <f t="shared" ref="AG57" si="245">IF(AG56=0,0,IFERROR((((AG56)/(AVERAGE(AH53:AI53)))*4.3),"∞"))</f>
        <v>7.2566013071895403</v>
      </c>
      <c r="AH57" s="35">
        <f t="shared" ref="AH57" si="246">IF(AH56=0,0,IFERROR((((AH56)/(AVERAGE(AI53:AJ53)))*4.3),"∞"))</f>
        <v>7.0886764705882328</v>
      </c>
      <c r="AI57" s="35">
        <f t="shared" ref="AI57" si="247">IF(AI56=0,0,IFERROR((((AI56)/(AVERAGE(AJ53:AK53)))*4.3),"∞"))</f>
        <v>7.0886764705882328</v>
      </c>
      <c r="AJ57" s="35">
        <f t="shared" ref="AJ57" si="248">IF(AJ56=0,0,IFERROR((((AJ56)/(AVERAGE(AK53:AL53)))*4.3),"∞"))</f>
        <v>7.0886764705882328</v>
      </c>
      <c r="AK57" s="35">
        <f t="shared" ref="AK57" si="249">IF(AK56=0,0,IFERROR((((AK56)/(AVERAGE(AL53:AM53)))*4.3),"∞"))</f>
        <v>8.1013445378151232</v>
      </c>
      <c r="AL57" s="35">
        <f t="shared" ref="AL57" si="250">IF(AL56=0,0,IFERROR((((AL56)/(AVERAGE(AM53:AN53)))*4.3),"∞"))</f>
        <v>9.4515686274509765</v>
      </c>
      <c r="AM57" s="35">
        <f t="shared" ref="AM57" si="251">IF(AM56=0,0,IFERROR((((AM56)/(AVERAGE(AN53:AO53)))*4.3),"∞"))</f>
        <v>11.341882352941175</v>
      </c>
      <c r="AN57" s="35">
        <f>IF(AN56=0,0,IFERROR((((AN56)/(AVERAGE(AO53,AQ53)))*4.3),"∞"))</f>
        <v>14.177352941176469</v>
      </c>
      <c r="AO57" s="35" t="str">
        <f>IF(AO56=0,0,IFERROR((((AO56)/(AVERAGE(AQ53:AR53)))*4.3),"∞"))</f>
        <v>∞</v>
      </c>
      <c r="AP57" s="36"/>
    </row>
    <row r="58" spans="2:42" s="23" customFormat="1" ht="15" thickBot="1" x14ac:dyDescent="0.4">
      <c r="B58" s="22"/>
      <c r="D58" s="74"/>
      <c r="E58" s="74"/>
      <c r="F58" s="74"/>
      <c r="G58" s="74"/>
      <c r="H58" s="74"/>
      <c r="I58" s="74"/>
      <c r="J58" s="74"/>
      <c r="K58" s="74"/>
      <c r="L58" s="24"/>
      <c r="M58" s="24"/>
      <c r="N58" s="24"/>
      <c r="O58" s="24"/>
      <c r="P58" s="25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5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5"/>
    </row>
    <row r="59" spans="2:42" ht="14.5" customHeight="1" x14ac:dyDescent="0.35">
      <c r="B59" s="162" t="str">
        <f>'IMS vs FRCST'!B20</f>
        <v>Al Fakher Lemon Mint 50g</v>
      </c>
      <c r="C59" s="21" t="s">
        <v>53</v>
      </c>
      <c r="D59" s="70">
        <v>0</v>
      </c>
      <c r="E59" s="70">
        <f t="shared" ref="E59" si="252">D64</f>
        <v>11</v>
      </c>
      <c r="F59" s="70">
        <f t="shared" ref="F59:O59" si="253">E64</f>
        <v>0</v>
      </c>
      <c r="G59" s="70">
        <f t="shared" si="253"/>
        <v>357</v>
      </c>
      <c r="H59" s="70">
        <f t="shared" si="253"/>
        <v>317</v>
      </c>
      <c r="I59" s="70">
        <f t="shared" si="253"/>
        <v>104</v>
      </c>
      <c r="J59" s="70">
        <f t="shared" si="253"/>
        <v>0</v>
      </c>
      <c r="K59" s="70">
        <f t="shared" si="253"/>
        <v>27</v>
      </c>
      <c r="L59" s="32">
        <f t="shared" si="253"/>
        <v>685</v>
      </c>
      <c r="M59" s="32">
        <f t="shared" si="253"/>
        <v>471</v>
      </c>
      <c r="N59" s="32">
        <f t="shared" si="253"/>
        <v>-34</v>
      </c>
      <c r="O59" s="32">
        <f t="shared" si="253"/>
        <v>116</v>
      </c>
      <c r="P59" s="33"/>
      <c r="Q59" s="32">
        <f>O64</f>
        <v>303</v>
      </c>
      <c r="R59" s="32">
        <f>Q64</f>
        <v>137</v>
      </c>
      <c r="S59" s="32">
        <f t="shared" ref="S59:AB59" si="254">R64</f>
        <v>49</v>
      </c>
      <c r="T59" s="32">
        <f t="shared" si="254"/>
        <v>334</v>
      </c>
      <c r="U59" s="32">
        <f t="shared" si="254"/>
        <v>434</v>
      </c>
      <c r="V59" s="32">
        <f t="shared" si="254"/>
        <v>434</v>
      </c>
      <c r="W59" s="32">
        <f t="shared" si="254"/>
        <v>384</v>
      </c>
      <c r="X59" s="32">
        <f t="shared" si="254"/>
        <v>384</v>
      </c>
      <c r="Y59" s="32">
        <f t="shared" si="254"/>
        <v>384</v>
      </c>
      <c r="Z59" s="32">
        <f t="shared" si="254"/>
        <v>484</v>
      </c>
      <c r="AA59" s="32">
        <f t="shared" si="254"/>
        <v>434</v>
      </c>
      <c r="AB59" s="32">
        <f t="shared" si="254"/>
        <v>184</v>
      </c>
      <c r="AC59" s="33"/>
      <c r="AD59" s="32">
        <f>AB64</f>
        <v>134</v>
      </c>
      <c r="AE59" s="32">
        <f t="shared" ref="AE59" si="255">AD64</f>
        <v>134</v>
      </c>
      <c r="AF59" s="32">
        <f t="shared" ref="AF59" si="256">AE64</f>
        <v>134</v>
      </c>
      <c r="AG59" s="32">
        <f t="shared" ref="AG59" si="257">AF64</f>
        <v>287</v>
      </c>
      <c r="AH59" s="32">
        <f t="shared" ref="AH59" si="258">AG64</f>
        <v>287</v>
      </c>
      <c r="AI59" s="32">
        <f t="shared" ref="AI59" si="259">AH64</f>
        <v>236</v>
      </c>
      <c r="AJ59" s="32">
        <f t="shared" ref="AJ59" si="260">AI64</f>
        <v>236</v>
      </c>
      <c r="AK59" s="32">
        <f t="shared" ref="AK59" si="261">AJ64</f>
        <v>236</v>
      </c>
      <c r="AL59" s="32">
        <f t="shared" ref="AL59" si="262">AK64</f>
        <v>236</v>
      </c>
      <c r="AM59" s="32">
        <f t="shared" ref="AM59" si="263">AL64</f>
        <v>185</v>
      </c>
      <c r="AN59" s="32">
        <f t="shared" ref="AN59" si="264">AM64</f>
        <v>236</v>
      </c>
      <c r="AO59" s="32">
        <f t="shared" ref="AO59" si="265">AN64</f>
        <v>287</v>
      </c>
      <c r="AP59" s="33"/>
    </row>
    <row r="60" spans="2:42" x14ac:dyDescent="0.35">
      <c r="B60" s="163"/>
      <c r="C60" s="4" t="s">
        <v>54</v>
      </c>
      <c r="D60" s="71"/>
      <c r="E60" s="71"/>
      <c r="F60" s="71"/>
      <c r="G60" s="71"/>
      <c r="H60" s="71"/>
      <c r="I60" s="71"/>
      <c r="J60" s="75">
        <v>-120</v>
      </c>
      <c r="K60" s="71"/>
      <c r="L60" s="27"/>
      <c r="M60" s="27"/>
      <c r="N60" s="27"/>
      <c r="O60" s="27"/>
      <c r="P60" s="26"/>
      <c r="Q60" s="27">
        <v>120</v>
      </c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6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6"/>
    </row>
    <row r="61" spans="2:42" s="6" customFormat="1" x14ac:dyDescent="0.35">
      <c r="B61" s="163"/>
      <c r="C61" s="42" t="s">
        <v>55</v>
      </c>
      <c r="D61" s="44">
        <f>'IMS vs FRCST'!C20</f>
        <v>390</v>
      </c>
      <c r="E61" s="44">
        <f>'IMS vs FRCST'!D20</f>
        <v>11</v>
      </c>
      <c r="F61" s="44">
        <f>'IMS vs FRCST'!E20</f>
        <v>143</v>
      </c>
      <c r="G61" s="44">
        <f>'IMS vs FRCST'!F20</f>
        <v>292</v>
      </c>
      <c r="H61" s="44">
        <f>'IMS vs FRCST'!G20</f>
        <v>213</v>
      </c>
      <c r="I61" s="44">
        <f>'IMS vs FRCST'!H20</f>
        <v>104</v>
      </c>
      <c r="J61" s="44">
        <f>'IMS vs FRCST'!I20</f>
        <v>422</v>
      </c>
      <c r="K61" s="44">
        <f>'IMS vs FRCST'!J20</f>
        <v>147</v>
      </c>
      <c r="L61" s="43">
        <f>'IMS vs FRCST'!K20</f>
        <v>214</v>
      </c>
      <c r="M61" s="43">
        <f>'IMS vs FRCST'!L20</f>
        <v>505</v>
      </c>
      <c r="N61" s="43">
        <f>'IMS vs FRCST'!M20</f>
        <v>246</v>
      </c>
      <c r="O61" s="43">
        <f>'IMS vs FRCST'!N20</f>
        <v>62</v>
      </c>
      <c r="P61" s="26">
        <f>SUM(D61:O61)</f>
        <v>2749</v>
      </c>
      <c r="Q61" s="28">
        <f>'IMS vs FRCST'!P20</f>
        <v>286</v>
      </c>
      <c r="R61" s="28">
        <f>'IMS vs FRCST'!Q20</f>
        <v>88</v>
      </c>
      <c r="S61" s="28">
        <f>'IMS vs FRCST'!R20</f>
        <v>178</v>
      </c>
      <c r="T61" s="28">
        <f>'IMS vs FRCST'!S20</f>
        <v>300</v>
      </c>
      <c r="U61" s="28">
        <f>'IMS vs FRCST'!T20</f>
        <v>400</v>
      </c>
      <c r="V61" s="28">
        <f>'IMS vs FRCST'!U20</f>
        <v>400</v>
      </c>
      <c r="W61" s="28">
        <f>'IMS vs FRCST'!V20</f>
        <v>350</v>
      </c>
      <c r="X61" s="28">
        <f>'IMS vs FRCST'!W20</f>
        <v>350</v>
      </c>
      <c r="Y61" s="28">
        <f>'IMS vs FRCST'!X20</f>
        <v>350</v>
      </c>
      <c r="Z61" s="28">
        <f>'IMS vs FRCST'!Y20</f>
        <v>250</v>
      </c>
      <c r="AA61" s="28">
        <f>'IMS vs FRCST'!Z20</f>
        <v>250</v>
      </c>
      <c r="AB61" s="28">
        <f>'IMS vs FRCST'!AA20</f>
        <v>250</v>
      </c>
      <c r="AC61" s="26">
        <f>SUM(Q61:AB61)</f>
        <v>3452</v>
      </c>
      <c r="AD61" s="28">
        <f>'IMS vs FRCST'!AC20</f>
        <v>250</v>
      </c>
      <c r="AE61" s="28">
        <f>'IMS vs FRCST'!AD20</f>
        <v>250</v>
      </c>
      <c r="AF61" s="28">
        <f>'IMS vs FRCST'!AE20</f>
        <v>153</v>
      </c>
      <c r="AG61" s="28">
        <f>'IMS vs FRCST'!AF20</f>
        <v>306</v>
      </c>
      <c r="AH61" s="28">
        <f>'IMS vs FRCST'!AG20</f>
        <v>408</v>
      </c>
      <c r="AI61" s="28">
        <f>'IMS vs FRCST'!AH20</f>
        <v>408</v>
      </c>
      <c r="AJ61" s="28">
        <f>'IMS vs FRCST'!AI20</f>
        <v>357</v>
      </c>
      <c r="AK61" s="28">
        <f>'IMS vs FRCST'!AJ20</f>
        <v>357</v>
      </c>
      <c r="AL61" s="28">
        <f>'IMS vs FRCST'!AK20</f>
        <v>357</v>
      </c>
      <c r="AM61" s="28">
        <f>'IMS vs FRCST'!AL20</f>
        <v>255</v>
      </c>
      <c r="AN61" s="28">
        <f>'IMS vs FRCST'!AM20</f>
        <v>255</v>
      </c>
      <c r="AO61" s="28">
        <f>'IMS vs FRCST'!AN20</f>
        <v>255</v>
      </c>
      <c r="AP61" s="26">
        <f>SUM(AD61:AO61)</f>
        <v>3611</v>
      </c>
    </row>
    <row r="62" spans="2:42" x14ac:dyDescent="0.35">
      <c r="B62" s="163"/>
      <c r="C62" s="4" t="s">
        <v>56</v>
      </c>
      <c r="D62" s="71">
        <f>'Shipment (Production)'!G21</f>
        <v>401</v>
      </c>
      <c r="E62" s="71">
        <f>'Shipment (Production)'!L21</f>
        <v>0</v>
      </c>
      <c r="F62" s="71">
        <f>'Shipment (Production)'!Q21</f>
        <v>752</v>
      </c>
      <c r="G62" s="71">
        <f>'Shipment (Production)'!V21</f>
        <v>0</v>
      </c>
      <c r="H62" s="71">
        <f>'Shipment (Production)'!AA21</f>
        <v>0</v>
      </c>
      <c r="I62" s="71">
        <f>'Shipment (Production)'!AF21</f>
        <v>0</v>
      </c>
      <c r="J62" s="71">
        <f>'Shipment (Production)'!AK21</f>
        <v>569</v>
      </c>
      <c r="K62" s="71">
        <f>'Shipment (Production)'!AP21</f>
        <v>805</v>
      </c>
      <c r="L62" s="27">
        <f>'Shipment (Production)'!AU21</f>
        <v>0</v>
      </c>
      <c r="M62" s="27">
        <f>'Shipment (Production)'!AZ21</f>
        <v>0</v>
      </c>
      <c r="N62" s="27">
        <f>'Shipment (Production)'!BE21</f>
        <v>645</v>
      </c>
      <c r="O62" s="27">
        <f>'Shipment (Production)'!BJ21</f>
        <v>0</v>
      </c>
      <c r="P62" s="26">
        <f>SUM(D62:O62)</f>
        <v>3172</v>
      </c>
      <c r="Q62" s="27">
        <f>'Shipment (Production)'!BP21</f>
        <v>0</v>
      </c>
      <c r="R62" s="27">
        <f>'Shipment (Production)'!BU21</f>
        <v>463</v>
      </c>
      <c r="S62" s="27">
        <f>'Shipment (Production)'!BZ21</f>
        <v>400</v>
      </c>
      <c r="T62" s="27">
        <f>'Shipment (Production)'!CE21</f>
        <v>400</v>
      </c>
      <c r="U62" s="27">
        <f>'Shipment (Production)'!CJ21</f>
        <v>350</v>
      </c>
      <c r="V62" s="27">
        <f>'Shipment (Production)'!CO21</f>
        <v>350</v>
      </c>
      <c r="W62" s="27">
        <f>'Shipment (Production)'!CT21</f>
        <v>350</v>
      </c>
      <c r="X62" s="27">
        <f>'Shipment (Production)'!CY21</f>
        <v>250</v>
      </c>
      <c r="Y62" s="27">
        <f>'Shipment (Production)'!DD21</f>
        <v>200</v>
      </c>
      <c r="Z62" s="27">
        <f>'Shipment (Production)'!DI21</f>
        <v>200</v>
      </c>
      <c r="AA62" s="27">
        <f>'Shipment (Production)'!DN21</f>
        <v>200</v>
      </c>
      <c r="AB62" s="27">
        <f>'Shipment (Production)'!DS21</f>
        <v>0</v>
      </c>
      <c r="AC62" s="26">
        <f>SUM(Q62:AB62)</f>
        <v>3163</v>
      </c>
      <c r="AD62" s="27">
        <f>'Shipment (Production)'!DY21</f>
        <v>250</v>
      </c>
      <c r="AE62" s="27">
        <f>'Shipment (Production)'!ED21</f>
        <v>250</v>
      </c>
      <c r="AF62" s="27">
        <f>'Shipment (Production)'!EI21</f>
        <v>306</v>
      </c>
      <c r="AG62" s="27">
        <f>'Shipment (Production)'!EN21</f>
        <v>306</v>
      </c>
      <c r="AH62" s="27">
        <f>'Shipment (Production)'!ES21</f>
        <v>357</v>
      </c>
      <c r="AI62" s="27">
        <f>'Shipment (Production)'!EX21</f>
        <v>408</v>
      </c>
      <c r="AJ62" s="27">
        <f>'Shipment (Production)'!FC21</f>
        <v>357</v>
      </c>
      <c r="AK62" s="27">
        <f>'Shipment (Production)'!FH21</f>
        <v>357</v>
      </c>
      <c r="AL62" s="27">
        <f>'Shipment (Production)'!FM21</f>
        <v>306</v>
      </c>
      <c r="AM62" s="27">
        <f>'Shipment (Production)'!FR21</f>
        <v>306</v>
      </c>
      <c r="AN62" s="27">
        <f>'Shipment (Production)'!FW21</f>
        <v>306</v>
      </c>
      <c r="AO62" s="27">
        <f>'Shipment (Production)'!GB21</f>
        <v>306</v>
      </c>
      <c r="AP62" s="26">
        <f>SUM(AD62:AO62)</f>
        <v>3815</v>
      </c>
    </row>
    <row r="63" spans="2:42" x14ac:dyDescent="0.35">
      <c r="B63" s="163"/>
      <c r="C63" s="4" t="s">
        <v>57</v>
      </c>
      <c r="D63" s="71">
        <f>'Arrival to Regie'!G21</f>
        <v>401</v>
      </c>
      <c r="E63" s="71">
        <f>'Arrival to Regie'!L21</f>
        <v>0</v>
      </c>
      <c r="F63" s="71">
        <f>'Arrival to Regie'!Q21</f>
        <v>500</v>
      </c>
      <c r="G63" s="71">
        <f>'Arrival to Regie'!V21</f>
        <v>252</v>
      </c>
      <c r="H63" s="71">
        <f>'Arrival to Regie'!AA21</f>
        <v>0</v>
      </c>
      <c r="I63" s="71">
        <f>'Arrival to Regie'!AF21</f>
        <v>0</v>
      </c>
      <c r="J63" s="71">
        <f>'Arrival to Regie'!AK21</f>
        <v>569</v>
      </c>
      <c r="K63" s="71">
        <f>'Arrival to Regie'!AP21</f>
        <v>805</v>
      </c>
      <c r="L63" s="27">
        <f>'Arrival to Regie'!AU21</f>
        <v>0</v>
      </c>
      <c r="M63" s="27">
        <f>'Arrival to Regie'!AZ21</f>
        <v>0</v>
      </c>
      <c r="N63" s="27">
        <f>'Arrival to Regie'!BE21</f>
        <v>396</v>
      </c>
      <c r="O63" s="27">
        <f>'Arrival to Regie'!BJ21</f>
        <v>249</v>
      </c>
      <c r="P63" s="26">
        <f>SUM(D63:O63)</f>
        <v>3172</v>
      </c>
      <c r="Q63" s="27">
        <f>'Arrival to Regie'!BP21</f>
        <v>0</v>
      </c>
      <c r="R63" s="27">
        <f>'Arrival to Regie'!BU21</f>
        <v>0</v>
      </c>
      <c r="S63" s="27">
        <f>'Arrival to Regie'!BZ21</f>
        <v>463</v>
      </c>
      <c r="T63" s="27">
        <f>'Arrival to Regie'!CE21</f>
        <v>400</v>
      </c>
      <c r="U63" s="27">
        <f>'Arrival to Regie'!CJ21</f>
        <v>400</v>
      </c>
      <c r="V63" s="27">
        <f>'Arrival to Regie'!CO21</f>
        <v>350</v>
      </c>
      <c r="W63" s="27">
        <f>'Arrival to Regie'!CT21</f>
        <v>350</v>
      </c>
      <c r="X63" s="27">
        <f>'Arrival to Regie'!CY21</f>
        <v>350</v>
      </c>
      <c r="Y63" s="27">
        <f>'Arrival to Regie'!DD21</f>
        <v>450</v>
      </c>
      <c r="Z63" s="27">
        <f>'Arrival to Regie'!DI21</f>
        <v>200</v>
      </c>
      <c r="AA63" s="27">
        <f>'Arrival to Regie'!DN21</f>
        <v>0</v>
      </c>
      <c r="AB63" s="27">
        <f>'Arrival to Regie'!DS21</f>
        <v>200</v>
      </c>
      <c r="AC63" s="26">
        <f>SUM(Q63:AB63)</f>
        <v>3163</v>
      </c>
      <c r="AD63" s="27">
        <f>'Arrival to Regie'!DY21</f>
        <v>250</v>
      </c>
      <c r="AE63" s="27">
        <f>'Arrival to Regie'!ED21</f>
        <v>250</v>
      </c>
      <c r="AF63" s="27">
        <f>'Arrival to Regie'!EI21</f>
        <v>306</v>
      </c>
      <c r="AG63" s="27">
        <f>'Arrival to Regie'!EN21</f>
        <v>306</v>
      </c>
      <c r="AH63" s="27">
        <f>'Arrival to Regie'!ES21</f>
        <v>357</v>
      </c>
      <c r="AI63" s="27">
        <f>'Arrival to Regie'!EX21</f>
        <v>408</v>
      </c>
      <c r="AJ63" s="27">
        <f>'Arrival to Regie'!FC21</f>
        <v>357</v>
      </c>
      <c r="AK63" s="27">
        <f>'Arrival to Regie'!FH21</f>
        <v>357</v>
      </c>
      <c r="AL63" s="27">
        <f>'Arrival to Regie'!FM21</f>
        <v>306</v>
      </c>
      <c r="AM63" s="27">
        <f>'Arrival to Regie'!FR21</f>
        <v>306</v>
      </c>
      <c r="AN63" s="27">
        <f>'Arrival to Regie'!FW21</f>
        <v>306</v>
      </c>
      <c r="AO63" s="27">
        <f>'Arrival to Regie'!GB21</f>
        <v>306</v>
      </c>
      <c r="AP63" s="26">
        <f>SUM(AD63:AO63)</f>
        <v>3815</v>
      </c>
    </row>
    <row r="64" spans="2:42" x14ac:dyDescent="0.35">
      <c r="B64" s="163"/>
      <c r="C64" s="47" t="s">
        <v>58</v>
      </c>
      <c r="D64" s="72">
        <f t="shared" ref="D64:AB64" si="266">D59+D60+D63-D61</f>
        <v>11</v>
      </c>
      <c r="E64" s="72">
        <f t="shared" si="266"/>
        <v>0</v>
      </c>
      <c r="F64" s="72">
        <f t="shared" si="266"/>
        <v>357</v>
      </c>
      <c r="G64" s="72">
        <f t="shared" si="266"/>
        <v>317</v>
      </c>
      <c r="H64" s="72">
        <f t="shared" si="266"/>
        <v>104</v>
      </c>
      <c r="I64" s="72">
        <f t="shared" si="266"/>
        <v>0</v>
      </c>
      <c r="J64" s="72">
        <f t="shared" si="266"/>
        <v>27</v>
      </c>
      <c r="K64" s="72">
        <f t="shared" si="266"/>
        <v>685</v>
      </c>
      <c r="L64" s="48">
        <f t="shared" si="266"/>
        <v>471</v>
      </c>
      <c r="M64" s="48">
        <f t="shared" si="266"/>
        <v>-34</v>
      </c>
      <c r="N64" s="48">
        <f t="shared" si="266"/>
        <v>116</v>
      </c>
      <c r="O64" s="48">
        <f t="shared" si="266"/>
        <v>303</v>
      </c>
      <c r="P64" s="26"/>
      <c r="Q64" s="48">
        <f t="shared" si="266"/>
        <v>137</v>
      </c>
      <c r="R64" s="48">
        <f t="shared" si="266"/>
        <v>49</v>
      </c>
      <c r="S64" s="48">
        <f t="shared" si="266"/>
        <v>334</v>
      </c>
      <c r="T64" s="48">
        <f t="shared" si="266"/>
        <v>434</v>
      </c>
      <c r="U64" s="48">
        <f t="shared" si="266"/>
        <v>434</v>
      </c>
      <c r="V64" s="48">
        <f t="shared" si="266"/>
        <v>384</v>
      </c>
      <c r="W64" s="48">
        <f t="shared" si="266"/>
        <v>384</v>
      </c>
      <c r="X64" s="48">
        <f t="shared" si="266"/>
        <v>384</v>
      </c>
      <c r="Y64" s="48">
        <f t="shared" si="266"/>
        <v>484</v>
      </c>
      <c r="Z64" s="48">
        <f t="shared" si="266"/>
        <v>434</v>
      </c>
      <c r="AA64" s="48">
        <f t="shared" si="266"/>
        <v>184</v>
      </c>
      <c r="AB64" s="48">
        <f t="shared" si="266"/>
        <v>134</v>
      </c>
      <c r="AC64" s="26"/>
      <c r="AD64" s="48">
        <f t="shared" ref="AD64:AO64" si="267">AD59+AD60+AD63-AD61</f>
        <v>134</v>
      </c>
      <c r="AE64" s="48">
        <f t="shared" si="267"/>
        <v>134</v>
      </c>
      <c r="AF64" s="48">
        <f t="shared" si="267"/>
        <v>287</v>
      </c>
      <c r="AG64" s="48">
        <f t="shared" si="267"/>
        <v>287</v>
      </c>
      <c r="AH64" s="48">
        <f t="shared" si="267"/>
        <v>236</v>
      </c>
      <c r="AI64" s="48">
        <f t="shared" si="267"/>
        <v>236</v>
      </c>
      <c r="AJ64" s="48">
        <f t="shared" si="267"/>
        <v>236</v>
      </c>
      <c r="AK64" s="48">
        <f t="shared" si="267"/>
        <v>236</v>
      </c>
      <c r="AL64" s="48">
        <f t="shared" si="267"/>
        <v>185</v>
      </c>
      <c r="AM64" s="48">
        <f t="shared" si="267"/>
        <v>236</v>
      </c>
      <c r="AN64" s="48">
        <f t="shared" si="267"/>
        <v>287</v>
      </c>
      <c r="AO64" s="48">
        <f t="shared" si="267"/>
        <v>338</v>
      </c>
      <c r="AP64" s="26"/>
    </row>
    <row r="65" spans="2:42" ht="15" thickBot="1" x14ac:dyDescent="0.4">
      <c r="B65" s="164"/>
      <c r="C65" s="34" t="s">
        <v>59</v>
      </c>
      <c r="D65" s="35">
        <f>IF(D64=0,0,IFERROR((((D64)/(AVERAGE(E61:F61)))*4.3),"∞"))</f>
        <v>0.61428571428571421</v>
      </c>
      <c r="E65" s="35">
        <f t="shared" ref="E65" si="268">IF(E64=0,0,IFERROR((((E64)/(AVERAGE(F61:G61)))*4.3),"∞"))</f>
        <v>0</v>
      </c>
      <c r="F65" s="35">
        <f t="shared" ref="F65" si="269">IF(F64=0,0,IFERROR((((F64)/(AVERAGE(G61:H61)))*4.3),"∞"))</f>
        <v>6.0796039603960388</v>
      </c>
      <c r="G65" s="35">
        <f t="shared" ref="G65" si="270">IF(G64=0,0,IFERROR((((G64)/(AVERAGE(H61:I61)))*4.3),"∞"))</f>
        <v>8.6</v>
      </c>
      <c r="H65" s="35">
        <f t="shared" ref="H65" si="271">IF(H64=0,0,IFERROR((((H64)/(AVERAGE(I61:J61)))*4.3),"∞"))</f>
        <v>1.7003802281368821</v>
      </c>
      <c r="I65" s="35">
        <f t="shared" ref="I65" si="272">IF(I64=0,0,IFERROR((((I64)/(AVERAGE(J61:K61)))*4.3),"∞"))</f>
        <v>0</v>
      </c>
      <c r="J65" s="35">
        <f t="shared" ref="J65" si="273">IF(J64=0,0,IFERROR((((J64)/(AVERAGE(K61:L61)))*4.3),"∞"))</f>
        <v>0.64321329639889191</v>
      </c>
      <c r="K65" s="35">
        <f t="shared" ref="K65" si="274">IF(K64=0,0,IFERROR((((K64)/(AVERAGE(L61:M61)))*4.3),"∞"))</f>
        <v>8.1933240611961047</v>
      </c>
      <c r="L65" s="35">
        <f t="shared" ref="L65" si="275">IF(L64=0,0,IFERROR((((L64)/(AVERAGE(M61:N61)))*4.3),"∞"))</f>
        <v>5.3936085219707062</v>
      </c>
      <c r="M65" s="35">
        <f t="shared" ref="M65" si="276">IF(M64=0,0,IFERROR((((M64)/(AVERAGE(N61:O61)))*4.3),"∞"))</f>
        <v>-0.94935064935064928</v>
      </c>
      <c r="N65" s="35">
        <f>IF(N64=0,0,IFERROR((((N64)/(AVERAGE(O61,Q61)))*4.3),"∞"))</f>
        <v>2.8666666666666663</v>
      </c>
      <c r="O65" s="35">
        <f>IF(O64=0,0,IFERROR((((O64)/(AVERAGE(Q61:R61)))*4.3),"∞"))</f>
        <v>6.9673796791443845</v>
      </c>
      <c r="P65" s="36"/>
      <c r="Q65" s="35">
        <f>IF(Q64=0,0,IFERROR((((Q64)/(AVERAGE(R61:S61)))*4.3),"∞"))</f>
        <v>4.4293233082706767</v>
      </c>
      <c r="R65" s="35">
        <f t="shared" ref="R65" si="277">IF(R64=0,0,IFERROR((((R64)/(AVERAGE(S61:T61)))*4.3),"∞"))</f>
        <v>0.88158995815899577</v>
      </c>
      <c r="S65" s="35">
        <f t="shared" ref="S65" si="278">IF(S64=0,0,IFERROR((((S64)/(AVERAGE(T61:U61)))*4.3),"∞"))</f>
        <v>4.1034285714285712</v>
      </c>
      <c r="T65" s="35">
        <f t="shared" ref="T65" si="279">IF(T64=0,0,IFERROR((((T64)/(AVERAGE(U61:V61)))*4.3),"∞"))</f>
        <v>4.6654999999999998</v>
      </c>
      <c r="U65" s="35">
        <f t="shared" ref="U65" si="280">IF(U64=0,0,IFERROR((((U64)/(AVERAGE(V61:W61)))*4.3),"∞"))</f>
        <v>4.9765333333333333</v>
      </c>
      <c r="V65" s="35">
        <f t="shared" ref="V65" si="281">IF(V64=0,0,IFERROR((((V64)/(AVERAGE(W61:X61)))*4.3),"∞"))</f>
        <v>4.717714285714286</v>
      </c>
      <c r="W65" s="35">
        <f t="shared" ref="W65" si="282">IF(W64=0,0,IFERROR((((W64)/(AVERAGE(X61:Y61)))*4.3),"∞"))</f>
        <v>4.717714285714286</v>
      </c>
      <c r="X65" s="35">
        <f t="shared" ref="X65" si="283">IF(X64=0,0,IFERROR((((X64)/(AVERAGE(Y61:Z61)))*4.3),"∞"))</f>
        <v>5.5039999999999996</v>
      </c>
      <c r="Y65" s="35">
        <f t="shared" ref="Y65" si="284">IF(Y64=0,0,IFERROR((((Y64)/(AVERAGE(Z61:AA61)))*4.3),"∞"))</f>
        <v>8.3247999999999998</v>
      </c>
      <c r="Z65" s="35">
        <f t="shared" ref="Z65" si="285">IF(Z64=0,0,IFERROR((((Z64)/(AVERAGE(AA61:AB61)))*4.3),"∞"))</f>
        <v>7.4647999999999994</v>
      </c>
      <c r="AA65" s="35">
        <f>IF(AA64=0,0,IFERROR((((AA64)/(AVERAGE(AB61,AD61)))*4.3),"∞"))</f>
        <v>3.1647999999999996</v>
      </c>
      <c r="AB65" s="35">
        <f>IF(AB64=0,0,IFERROR((((AB64)/(AVERAGE(AD61:AE61)))*4.3),"∞"))</f>
        <v>2.3048000000000002</v>
      </c>
      <c r="AC65" s="36"/>
      <c r="AD65" s="35">
        <f>IF(AD64=0,0,IFERROR((((AD64)/(AVERAGE(AE61:AF61)))*4.3),"∞"))</f>
        <v>2.85955334987593</v>
      </c>
      <c r="AE65" s="35">
        <f t="shared" ref="AE65" si="286">IF(AE64=0,0,IFERROR((((AE64)/(AVERAGE(AF61:AG61)))*4.3),"∞"))</f>
        <v>2.5106753812636162</v>
      </c>
      <c r="AF65" s="35">
        <f t="shared" ref="AF65" si="287">IF(AF64=0,0,IFERROR((((AF64)/(AVERAGE(AG61:AH61)))*4.3),"∞"))</f>
        <v>3.4568627450980394</v>
      </c>
      <c r="AG65" s="35">
        <f t="shared" ref="AG65" si="288">IF(AG64=0,0,IFERROR((((AG64)/(AVERAGE(AH61:AI61)))*4.3),"∞"))</f>
        <v>3.0247549019607844</v>
      </c>
      <c r="AH65" s="35">
        <f t="shared" ref="AH65" si="289">IF(AH64=0,0,IFERROR((((AH64)/(AVERAGE(AI61:AJ61)))*4.3),"∞"))</f>
        <v>2.6530718954248367</v>
      </c>
      <c r="AI65" s="35">
        <f t="shared" ref="AI65" si="290">IF(AI64=0,0,IFERROR((((AI64)/(AVERAGE(AJ61:AK61)))*4.3),"∞"))</f>
        <v>2.8425770308123246</v>
      </c>
      <c r="AJ65" s="35">
        <f t="shared" ref="AJ65" si="291">IF(AJ64=0,0,IFERROR((((AJ64)/(AVERAGE(AK61:AL61)))*4.3),"∞"))</f>
        <v>2.8425770308123246</v>
      </c>
      <c r="AK65" s="35">
        <f t="shared" ref="AK65" si="292">IF(AK64=0,0,IFERROR((((AK64)/(AVERAGE(AL61:AM61)))*4.3),"∞"))</f>
        <v>3.316339869281046</v>
      </c>
      <c r="AL65" s="35">
        <f t="shared" ref="AL65" si="293">IF(AL64=0,0,IFERROR((((AL64)/(AVERAGE(AM61:AN61)))*4.3),"∞"))</f>
        <v>3.1196078431372545</v>
      </c>
      <c r="AM65" s="35">
        <f t="shared" ref="AM65" si="294">IF(AM64=0,0,IFERROR((((AM64)/(AVERAGE(AN61:AO61)))*4.3),"∞"))</f>
        <v>3.9796078431372548</v>
      </c>
      <c r="AN65" s="35">
        <f>IF(AN64=0,0,IFERROR((((AN64)/(AVERAGE(AO61,AQ61)))*4.3),"∞"))</f>
        <v>4.8396078431372551</v>
      </c>
      <c r="AO65" s="35" t="str">
        <f>IF(AO64=0,0,IFERROR((((AO64)/(AVERAGE(AQ61:AR61)))*4.3),"∞"))</f>
        <v>∞</v>
      </c>
      <c r="AP65" s="36"/>
    </row>
    <row r="66" spans="2:42" s="23" customFormat="1" ht="15" thickBot="1" x14ac:dyDescent="0.4">
      <c r="B66" s="22"/>
      <c r="D66" s="74"/>
      <c r="E66" s="74"/>
      <c r="F66" s="74"/>
      <c r="G66" s="74"/>
      <c r="H66" s="74"/>
      <c r="I66" s="74"/>
      <c r="J66" s="74"/>
      <c r="K66" s="74"/>
      <c r="L66" s="24"/>
      <c r="M66" s="24"/>
      <c r="N66" s="24"/>
      <c r="O66" s="24"/>
      <c r="P66" s="25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5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5"/>
    </row>
    <row r="67" spans="2:42" ht="14.5" customHeight="1" x14ac:dyDescent="0.35">
      <c r="B67" s="162" t="str">
        <f>'IMS vs FRCST'!B21</f>
        <v>Al Fakher Magic Love 50g</v>
      </c>
      <c r="C67" s="21" t="s">
        <v>53</v>
      </c>
      <c r="D67" s="70">
        <v>683</v>
      </c>
      <c r="E67" s="70">
        <f t="shared" ref="E67" si="295">D72</f>
        <v>666</v>
      </c>
      <c r="F67" s="70">
        <f t="shared" ref="F67:O67" si="296">E72</f>
        <v>665</v>
      </c>
      <c r="G67" s="70">
        <f t="shared" si="296"/>
        <v>911</v>
      </c>
      <c r="H67" s="70">
        <f t="shared" si="296"/>
        <v>883</v>
      </c>
      <c r="I67" s="70">
        <f t="shared" si="296"/>
        <v>867</v>
      </c>
      <c r="J67" s="70">
        <f t="shared" si="296"/>
        <v>795</v>
      </c>
      <c r="K67" s="70">
        <f t="shared" si="296"/>
        <v>679</v>
      </c>
      <c r="L67" s="32">
        <f t="shared" si="296"/>
        <v>583</v>
      </c>
      <c r="M67" s="32">
        <f t="shared" si="296"/>
        <v>480</v>
      </c>
      <c r="N67" s="32">
        <f t="shared" si="296"/>
        <v>257</v>
      </c>
      <c r="O67" s="32">
        <f t="shared" si="296"/>
        <v>210</v>
      </c>
      <c r="P67" s="33"/>
      <c r="Q67" s="32">
        <f>O72</f>
        <v>208</v>
      </c>
      <c r="R67" s="32">
        <f t="shared" ref="R67:AB67" si="297">Q72</f>
        <v>154</v>
      </c>
      <c r="S67" s="32">
        <f t="shared" si="297"/>
        <v>146</v>
      </c>
      <c r="T67" s="32">
        <f t="shared" si="297"/>
        <v>103</v>
      </c>
      <c r="U67" s="32">
        <f t="shared" si="297"/>
        <v>53</v>
      </c>
      <c r="V67" s="32">
        <f t="shared" si="297"/>
        <v>13</v>
      </c>
      <c r="W67" s="32">
        <f t="shared" si="297"/>
        <v>83</v>
      </c>
      <c r="X67" s="32">
        <f t="shared" si="297"/>
        <v>203</v>
      </c>
      <c r="Y67" s="32">
        <f t="shared" si="297"/>
        <v>123</v>
      </c>
      <c r="Z67" s="32">
        <f t="shared" si="297"/>
        <v>148</v>
      </c>
      <c r="AA67" s="32">
        <f t="shared" si="297"/>
        <v>193</v>
      </c>
      <c r="AB67" s="32">
        <f t="shared" si="297"/>
        <v>143</v>
      </c>
      <c r="AC67" s="33"/>
      <c r="AD67" s="32">
        <f>AB72</f>
        <v>93</v>
      </c>
      <c r="AE67" s="32">
        <f t="shared" ref="AE67" si="298">AD72</f>
        <v>93</v>
      </c>
      <c r="AF67" s="32">
        <f t="shared" ref="AF67" si="299">AE72</f>
        <v>93</v>
      </c>
      <c r="AG67" s="32">
        <f t="shared" ref="AG67" si="300">AF72</f>
        <v>225.6</v>
      </c>
      <c r="AH67" s="32">
        <f t="shared" ref="AH67" si="301">AG72</f>
        <v>225.60000000000002</v>
      </c>
      <c r="AI67" s="32">
        <f t="shared" ref="AI67" si="302">AH72</f>
        <v>235.8</v>
      </c>
      <c r="AJ67" s="32">
        <f t="shared" ref="AJ67" si="303">AI72</f>
        <v>205.20000000000002</v>
      </c>
      <c r="AK67" s="32">
        <f t="shared" ref="AK67" si="304">AJ72</f>
        <v>174.60000000000005</v>
      </c>
      <c r="AL67" s="32">
        <f t="shared" ref="AL67" si="305">AK72</f>
        <v>144.00000000000006</v>
      </c>
      <c r="AM67" s="32">
        <f t="shared" ref="AM67" si="306">AL72</f>
        <v>118.50000000000006</v>
      </c>
      <c r="AN67" s="32">
        <f t="shared" ref="AN67" si="307">AM72</f>
        <v>82.800000000000068</v>
      </c>
      <c r="AO67" s="32">
        <f t="shared" ref="AO67" si="308">AN72</f>
        <v>72.600000000000065</v>
      </c>
      <c r="AP67" s="33"/>
    </row>
    <row r="68" spans="2:42" x14ac:dyDescent="0.35">
      <c r="B68" s="163"/>
      <c r="C68" s="4" t="s">
        <v>54</v>
      </c>
      <c r="D68" s="71"/>
      <c r="E68" s="71"/>
      <c r="F68" s="71"/>
      <c r="G68" s="71"/>
      <c r="H68" s="71"/>
      <c r="I68" s="71"/>
      <c r="J68" s="71"/>
      <c r="K68" s="71"/>
      <c r="L68" s="27"/>
      <c r="M68" s="27"/>
      <c r="N68" s="27"/>
      <c r="O68" s="27"/>
      <c r="P68" s="26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6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6"/>
    </row>
    <row r="69" spans="2:42" s="6" customFormat="1" x14ac:dyDescent="0.35">
      <c r="B69" s="163"/>
      <c r="C69" s="42" t="s">
        <v>55</v>
      </c>
      <c r="D69" s="44">
        <f>'IMS vs FRCST'!C21</f>
        <v>17</v>
      </c>
      <c r="E69" s="44">
        <f>'IMS vs FRCST'!D21</f>
        <v>1</v>
      </c>
      <c r="F69" s="44">
        <f>'IMS vs FRCST'!E21</f>
        <v>9</v>
      </c>
      <c r="G69" s="44">
        <f>'IMS vs FRCST'!F21</f>
        <v>28</v>
      </c>
      <c r="H69" s="44">
        <f>'IMS vs FRCST'!G21</f>
        <v>16</v>
      </c>
      <c r="I69" s="44">
        <f>'IMS vs FRCST'!H21</f>
        <v>72</v>
      </c>
      <c r="J69" s="44">
        <f>'IMS vs FRCST'!I21</f>
        <v>116</v>
      </c>
      <c r="K69" s="44">
        <f>'IMS vs FRCST'!J21</f>
        <v>96</v>
      </c>
      <c r="L69" s="43">
        <f>'IMS vs FRCST'!K21</f>
        <v>103</v>
      </c>
      <c r="M69" s="43">
        <f>'IMS vs FRCST'!L21</f>
        <v>223</v>
      </c>
      <c r="N69" s="43">
        <f>'IMS vs FRCST'!M21</f>
        <v>47</v>
      </c>
      <c r="O69" s="43">
        <f>'IMS vs FRCST'!N21</f>
        <v>2</v>
      </c>
      <c r="P69" s="26">
        <f>SUM(D69:O69)</f>
        <v>730</v>
      </c>
      <c r="Q69" s="28">
        <f>'IMS vs FRCST'!P21</f>
        <v>54</v>
      </c>
      <c r="R69" s="28">
        <f>'IMS vs FRCST'!Q21</f>
        <v>8</v>
      </c>
      <c r="S69" s="28">
        <f>'IMS vs FRCST'!R21</f>
        <v>43</v>
      </c>
      <c r="T69" s="28">
        <f>'IMS vs FRCST'!S21</f>
        <v>50</v>
      </c>
      <c r="U69" s="28">
        <f>'IMS vs FRCST'!T21</f>
        <v>40</v>
      </c>
      <c r="V69" s="28">
        <f>'IMS vs FRCST'!U21</f>
        <v>80</v>
      </c>
      <c r="W69" s="28">
        <f>'IMS vs FRCST'!V21</f>
        <v>80</v>
      </c>
      <c r="X69" s="28">
        <f>'IMS vs FRCST'!W21</f>
        <v>80</v>
      </c>
      <c r="Y69" s="28">
        <f>'IMS vs FRCST'!X21</f>
        <v>75</v>
      </c>
      <c r="Z69" s="28">
        <f>'IMS vs FRCST'!Y21</f>
        <v>75</v>
      </c>
      <c r="AA69" s="28">
        <f>'IMS vs FRCST'!Z21</f>
        <v>50</v>
      </c>
      <c r="AB69" s="28">
        <f>'IMS vs FRCST'!AA21</f>
        <v>50</v>
      </c>
      <c r="AC69" s="26">
        <f>SUM(Q69:AB69)</f>
        <v>685</v>
      </c>
      <c r="AD69" s="28">
        <f>'IMS vs FRCST'!AC21</f>
        <v>30</v>
      </c>
      <c r="AE69" s="28">
        <f>'IMS vs FRCST'!AD21</f>
        <v>30</v>
      </c>
      <c r="AF69" s="28">
        <f>'IMS vs FRCST'!AE21</f>
        <v>71.400000000000006</v>
      </c>
      <c r="AG69" s="28">
        <f>'IMS vs FRCST'!AF21</f>
        <v>51</v>
      </c>
      <c r="AH69" s="28">
        <f>'IMS vs FRCST'!AG21</f>
        <v>40.799999999999997</v>
      </c>
      <c r="AI69" s="28">
        <f>'IMS vs FRCST'!AH21</f>
        <v>81.599999999999994</v>
      </c>
      <c r="AJ69" s="28">
        <f>'IMS vs FRCST'!AI21</f>
        <v>81.599999999999994</v>
      </c>
      <c r="AK69" s="28">
        <f>'IMS vs FRCST'!AJ21</f>
        <v>81.599999999999994</v>
      </c>
      <c r="AL69" s="28">
        <f>'IMS vs FRCST'!AK21</f>
        <v>76.5</v>
      </c>
      <c r="AM69" s="28">
        <f>'IMS vs FRCST'!AL21</f>
        <v>76.5</v>
      </c>
      <c r="AN69" s="28">
        <f>'IMS vs FRCST'!AM21</f>
        <v>51</v>
      </c>
      <c r="AO69" s="28">
        <f>'IMS vs FRCST'!AN21</f>
        <v>51</v>
      </c>
      <c r="AP69" s="26">
        <f>SUM(AD69:AO69)</f>
        <v>723</v>
      </c>
    </row>
    <row r="70" spans="2:42" x14ac:dyDescent="0.35">
      <c r="B70" s="163"/>
      <c r="C70" s="4" t="s">
        <v>56</v>
      </c>
      <c r="D70" s="71">
        <f>'Shipment (Production)'!G22</f>
        <v>0</v>
      </c>
      <c r="E70" s="71">
        <f>'Shipment (Production)'!L22</f>
        <v>0</v>
      </c>
      <c r="F70" s="71">
        <f>'Shipment (Production)'!Q22</f>
        <v>255</v>
      </c>
      <c r="G70" s="71">
        <f>'Shipment (Production)'!V22</f>
        <v>0</v>
      </c>
      <c r="H70" s="71">
        <f>'Shipment (Production)'!AA22</f>
        <v>0</v>
      </c>
      <c r="I70" s="71">
        <f>'Shipment (Production)'!AF22</f>
        <v>0</v>
      </c>
      <c r="J70" s="71">
        <f>'Shipment (Production)'!AK22</f>
        <v>0</v>
      </c>
      <c r="K70" s="71">
        <f>'Shipment (Production)'!AP22</f>
        <v>0</v>
      </c>
      <c r="L70" s="27">
        <f>'Shipment (Production)'!AU22</f>
        <v>0</v>
      </c>
      <c r="M70" s="27">
        <f>'Shipment (Production)'!AZ22</f>
        <v>0</v>
      </c>
      <c r="N70" s="27">
        <f>'Shipment (Production)'!BE22</f>
        <v>0</v>
      </c>
      <c r="O70" s="27">
        <f>'Shipment (Production)'!BJ22</f>
        <v>0</v>
      </c>
      <c r="P70" s="26">
        <f>SUM(D70:O70)</f>
        <v>255</v>
      </c>
      <c r="Q70" s="27">
        <f>'Shipment (Production)'!BP22</f>
        <v>0</v>
      </c>
      <c r="R70" s="27">
        <f>'Shipment (Production)'!BU22</f>
        <v>0</v>
      </c>
      <c r="S70" s="27">
        <f>'Shipment (Production)'!BZ22</f>
        <v>0</v>
      </c>
      <c r="T70" s="27">
        <f>'Shipment (Production)'!CE22</f>
        <v>0</v>
      </c>
      <c r="U70" s="27">
        <f>'Shipment (Production)'!CJ22</f>
        <v>0</v>
      </c>
      <c r="V70" s="27">
        <f>'Shipment (Production)'!CO22</f>
        <v>150</v>
      </c>
      <c r="W70" s="27">
        <f>'Shipment (Production)'!CT22</f>
        <v>200</v>
      </c>
      <c r="X70" s="27">
        <f>'Shipment (Production)'!CY22</f>
        <v>100</v>
      </c>
      <c r="Y70" s="27">
        <f>'Shipment (Production)'!DD22</f>
        <v>0</v>
      </c>
      <c r="Z70" s="27">
        <f>'Shipment (Production)'!DI22</f>
        <v>120</v>
      </c>
      <c r="AA70" s="27">
        <f>'Shipment (Production)'!DN22</f>
        <v>0</v>
      </c>
      <c r="AB70" s="27">
        <f>'Shipment (Production)'!DS22</f>
        <v>0</v>
      </c>
      <c r="AC70" s="26">
        <f>SUM(Q70:AB70)</f>
        <v>570</v>
      </c>
      <c r="AD70" s="27">
        <f>'Shipment (Production)'!DY22</f>
        <v>30</v>
      </c>
      <c r="AE70" s="27">
        <f>'Shipment (Production)'!ED22</f>
        <v>30</v>
      </c>
      <c r="AF70" s="27">
        <f>'Shipment (Production)'!EI22</f>
        <v>204</v>
      </c>
      <c r="AG70" s="27">
        <f>'Shipment (Production)'!EN22</f>
        <v>51</v>
      </c>
      <c r="AH70" s="27">
        <f>'Shipment (Production)'!ES22</f>
        <v>51</v>
      </c>
      <c r="AI70" s="27">
        <f>'Shipment (Production)'!EX22</f>
        <v>51</v>
      </c>
      <c r="AJ70" s="27">
        <f>'Shipment (Production)'!FC22</f>
        <v>51</v>
      </c>
      <c r="AK70" s="27">
        <f>'Shipment (Production)'!FH22</f>
        <v>51</v>
      </c>
      <c r="AL70" s="27">
        <f>'Shipment (Production)'!FM22</f>
        <v>51</v>
      </c>
      <c r="AM70" s="27">
        <f>'Shipment (Production)'!FR22</f>
        <v>40.799999999999997</v>
      </c>
      <c r="AN70" s="27">
        <f>'Shipment (Production)'!FW22</f>
        <v>40.799999999999997</v>
      </c>
      <c r="AO70" s="27">
        <f>'Shipment (Production)'!GB22</f>
        <v>40.799999999999997</v>
      </c>
      <c r="AP70" s="26">
        <f>SUM(AD70:AO70)</f>
        <v>692.39999999999986</v>
      </c>
    </row>
    <row r="71" spans="2:42" x14ac:dyDescent="0.35">
      <c r="B71" s="163"/>
      <c r="C71" s="4" t="s">
        <v>57</v>
      </c>
      <c r="D71" s="71">
        <f>'Arrival to Regie'!G22</f>
        <v>0</v>
      </c>
      <c r="E71" s="71">
        <f>'Arrival to Regie'!L22</f>
        <v>0</v>
      </c>
      <c r="F71" s="71">
        <f>'Arrival to Regie'!Q22</f>
        <v>255</v>
      </c>
      <c r="G71" s="71">
        <f>'Arrival to Regie'!V22</f>
        <v>0</v>
      </c>
      <c r="H71" s="71">
        <f>'Arrival to Regie'!AA22</f>
        <v>0</v>
      </c>
      <c r="I71" s="71">
        <f>'Arrival to Regie'!AF22</f>
        <v>0</v>
      </c>
      <c r="J71" s="71">
        <f>'Arrival to Regie'!AK22</f>
        <v>0</v>
      </c>
      <c r="K71" s="71">
        <f>'Arrival to Regie'!AP22</f>
        <v>0</v>
      </c>
      <c r="L71" s="27">
        <f>'Arrival to Regie'!AU22</f>
        <v>0</v>
      </c>
      <c r="M71" s="27">
        <f>'Arrival to Regie'!AZ22</f>
        <v>0</v>
      </c>
      <c r="N71" s="27">
        <f>'Arrival to Regie'!BE22</f>
        <v>0</v>
      </c>
      <c r="O71" s="27">
        <f>'Arrival to Regie'!BJ22</f>
        <v>0</v>
      </c>
      <c r="P71" s="26">
        <f>SUM(D71:O71)</f>
        <v>255</v>
      </c>
      <c r="Q71" s="27">
        <f>'Arrival to Regie'!BP22</f>
        <v>0</v>
      </c>
      <c r="R71" s="27">
        <f>'Arrival to Regie'!BU22</f>
        <v>0</v>
      </c>
      <c r="S71" s="27">
        <f>'Arrival to Regie'!BZ22</f>
        <v>0</v>
      </c>
      <c r="T71" s="27">
        <f>'Arrival to Regie'!CE22</f>
        <v>0</v>
      </c>
      <c r="U71" s="27">
        <f>'Arrival to Regie'!CJ22</f>
        <v>0</v>
      </c>
      <c r="V71" s="27">
        <f>'Arrival to Regie'!CO22</f>
        <v>150</v>
      </c>
      <c r="W71" s="27">
        <f>'Arrival to Regie'!CT22</f>
        <v>200</v>
      </c>
      <c r="X71" s="27">
        <f>'Arrival to Regie'!CY22</f>
        <v>0</v>
      </c>
      <c r="Y71" s="27">
        <f>'Arrival to Regie'!DD22</f>
        <v>100</v>
      </c>
      <c r="Z71" s="27">
        <f>'Arrival to Regie'!DI22</f>
        <v>120</v>
      </c>
      <c r="AA71" s="27">
        <f>'Arrival to Regie'!DN22</f>
        <v>0</v>
      </c>
      <c r="AB71" s="27">
        <f>'Arrival to Regie'!DS22</f>
        <v>0</v>
      </c>
      <c r="AC71" s="26">
        <f>SUM(Q71:AB71)</f>
        <v>570</v>
      </c>
      <c r="AD71" s="27">
        <f>'Arrival to Regie'!DY22</f>
        <v>30</v>
      </c>
      <c r="AE71" s="27">
        <f>'Arrival to Regie'!ED22</f>
        <v>30</v>
      </c>
      <c r="AF71" s="27">
        <f>'Arrival to Regie'!EI22</f>
        <v>204</v>
      </c>
      <c r="AG71" s="27">
        <f>'Arrival to Regie'!EN22</f>
        <v>51</v>
      </c>
      <c r="AH71" s="27">
        <f>'Arrival to Regie'!ES22</f>
        <v>51</v>
      </c>
      <c r="AI71" s="27">
        <f>'Arrival to Regie'!EX22</f>
        <v>51</v>
      </c>
      <c r="AJ71" s="27">
        <f>'Arrival to Regie'!FC22</f>
        <v>51</v>
      </c>
      <c r="AK71" s="27">
        <f>'Arrival to Regie'!FH22</f>
        <v>51</v>
      </c>
      <c r="AL71" s="27">
        <f>'Arrival to Regie'!FM22</f>
        <v>51</v>
      </c>
      <c r="AM71" s="27">
        <f>'Arrival to Regie'!FR22</f>
        <v>40.799999999999997</v>
      </c>
      <c r="AN71" s="27">
        <f>'Arrival to Regie'!FW22</f>
        <v>40.799999999999997</v>
      </c>
      <c r="AO71" s="27">
        <f>'Arrival to Regie'!GB22</f>
        <v>40.799999999999997</v>
      </c>
      <c r="AP71" s="26">
        <f>SUM(AD71:AO71)</f>
        <v>692.39999999999986</v>
      </c>
    </row>
    <row r="72" spans="2:42" x14ac:dyDescent="0.35">
      <c r="B72" s="163"/>
      <c r="C72" s="47" t="s">
        <v>58</v>
      </c>
      <c r="D72" s="72">
        <f t="shared" ref="D72:AB72" si="309">D67+D68+D71-D69</f>
        <v>666</v>
      </c>
      <c r="E72" s="72">
        <f t="shared" si="309"/>
        <v>665</v>
      </c>
      <c r="F72" s="72">
        <f t="shared" si="309"/>
        <v>911</v>
      </c>
      <c r="G72" s="72">
        <f t="shared" si="309"/>
        <v>883</v>
      </c>
      <c r="H72" s="72">
        <f t="shared" si="309"/>
        <v>867</v>
      </c>
      <c r="I72" s="72">
        <f t="shared" si="309"/>
        <v>795</v>
      </c>
      <c r="J72" s="72">
        <f t="shared" si="309"/>
        <v>679</v>
      </c>
      <c r="K72" s="72">
        <f t="shared" si="309"/>
        <v>583</v>
      </c>
      <c r="L72" s="48">
        <f t="shared" si="309"/>
        <v>480</v>
      </c>
      <c r="M72" s="48">
        <f t="shared" si="309"/>
        <v>257</v>
      </c>
      <c r="N72" s="48">
        <f t="shared" si="309"/>
        <v>210</v>
      </c>
      <c r="O72" s="48">
        <f t="shared" si="309"/>
        <v>208</v>
      </c>
      <c r="P72" s="26"/>
      <c r="Q72" s="48">
        <f t="shared" si="309"/>
        <v>154</v>
      </c>
      <c r="R72" s="48">
        <f t="shared" si="309"/>
        <v>146</v>
      </c>
      <c r="S72" s="48">
        <f t="shared" si="309"/>
        <v>103</v>
      </c>
      <c r="T72" s="48">
        <f t="shared" si="309"/>
        <v>53</v>
      </c>
      <c r="U72" s="48">
        <f t="shared" si="309"/>
        <v>13</v>
      </c>
      <c r="V72" s="48">
        <f t="shared" si="309"/>
        <v>83</v>
      </c>
      <c r="W72" s="48">
        <f t="shared" si="309"/>
        <v>203</v>
      </c>
      <c r="X72" s="48">
        <f t="shared" si="309"/>
        <v>123</v>
      </c>
      <c r="Y72" s="48">
        <f t="shared" si="309"/>
        <v>148</v>
      </c>
      <c r="Z72" s="48">
        <f t="shared" si="309"/>
        <v>193</v>
      </c>
      <c r="AA72" s="48">
        <f t="shared" si="309"/>
        <v>143</v>
      </c>
      <c r="AB72" s="48">
        <f t="shared" si="309"/>
        <v>93</v>
      </c>
      <c r="AC72" s="26"/>
      <c r="AD72" s="48">
        <f t="shared" ref="AD72:AO72" si="310">AD67+AD68+AD71-AD69</f>
        <v>93</v>
      </c>
      <c r="AE72" s="48">
        <f t="shared" si="310"/>
        <v>93</v>
      </c>
      <c r="AF72" s="48">
        <f t="shared" si="310"/>
        <v>225.6</v>
      </c>
      <c r="AG72" s="48">
        <f t="shared" si="310"/>
        <v>225.60000000000002</v>
      </c>
      <c r="AH72" s="48">
        <f t="shared" si="310"/>
        <v>235.8</v>
      </c>
      <c r="AI72" s="48">
        <f t="shared" si="310"/>
        <v>205.20000000000002</v>
      </c>
      <c r="AJ72" s="48">
        <f t="shared" si="310"/>
        <v>174.60000000000005</v>
      </c>
      <c r="AK72" s="48">
        <f t="shared" si="310"/>
        <v>144.00000000000006</v>
      </c>
      <c r="AL72" s="48">
        <f t="shared" si="310"/>
        <v>118.50000000000006</v>
      </c>
      <c r="AM72" s="48">
        <f t="shared" si="310"/>
        <v>82.800000000000068</v>
      </c>
      <c r="AN72" s="48">
        <f t="shared" si="310"/>
        <v>72.600000000000065</v>
      </c>
      <c r="AO72" s="48">
        <f t="shared" si="310"/>
        <v>62.400000000000063</v>
      </c>
      <c r="AP72" s="26"/>
    </row>
    <row r="73" spans="2:42" ht="15" thickBot="1" x14ac:dyDescent="0.4">
      <c r="B73" s="164"/>
      <c r="C73" s="34" t="s">
        <v>59</v>
      </c>
      <c r="D73" s="35">
        <f>IF(D72=0,0,IFERROR((((D72)/(AVERAGE(E69:F69)))*4.3),"∞"))</f>
        <v>572.75999999999988</v>
      </c>
      <c r="E73" s="35">
        <f t="shared" ref="E73" si="311">IF(E72=0,0,IFERROR((((E72)/(AVERAGE(F69:G69)))*4.3),"∞"))</f>
        <v>154.56756756756755</v>
      </c>
      <c r="F73" s="35">
        <f t="shared" ref="F73" si="312">IF(F72=0,0,IFERROR((((F72)/(AVERAGE(G69:H69)))*4.3),"∞"))</f>
        <v>178.05909090909088</v>
      </c>
      <c r="G73" s="35">
        <f t="shared" ref="G73" si="313">IF(G72=0,0,IFERROR((((G72)/(AVERAGE(H69:I69)))*4.3),"∞"))</f>
        <v>86.293181818181807</v>
      </c>
      <c r="H73" s="35">
        <f t="shared" ref="H73" si="314">IF(H72=0,0,IFERROR((((H72)/(AVERAGE(I69:J69)))*4.3),"∞"))</f>
        <v>39.660638297872339</v>
      </c>
      <c r="I73" s="35">
        <f t="shared" ref="I73" si="315">IF(I72=0,0,IFERROR((((I72)/(AVERAGE(J69:K69)))*4.3),"∞"))</f>
        <v>32.25</v>
      </c>
      <c r="J73" s="35">
        <f t="shared" ref="J73" si="316">IF(J72=0,0,IFERROR((((J72)/(AVERAGE(K69:L69)))*4.3),"∞"))</f>
        <v>29.343718592964819</v>
      </c>
      <c r="K73" s="35">
        <f t="shared" ref="K73" si="317">IF(K72=0,0,IFERROR((((K72)/(AVERAGE(L69:M69)))*4.3),"∞"))</f>
        <v>15.379754601226992</v>
      </c>
      <c r="L73" s="35">
        <f t="shared" ref="L73" si="318">IF(L72=0,0,IFERROR((((L72)/(AVERAGE(M69:N69)))*4.3),"∞"))</f>
        <v>15.288888888888888</v>
      </c>
      <c r="M73" s="35">
        <f t="shared" ref="M73" si="319">IF(M72=0,0,IFERROR((((M72)/(AVERAGE(N69:O69)))*4.3),"∞"))</f>
        <v>45.10612244897959</v>
      </c>
      <c r="N73" s="35">
        <f>IF(N72=0,0,IFERROR((((N72)/(AVERAGE(O69,Q69)))*4.3),"∞"))</f>
        <v>32.25</v>
      </c>
      <c r="O73" s="35">
        <f>IF(O72=0,0,IFERROR((((O72)/(AVERAGE(Q69:R69)))*4.3),"∞"))</f>
        <v>28.851612903225806</v>
      </c>
      <c r="P73" s="36"/>
      <c r="Q73" s="35">
        <f>IF(Q72=0,0,IFERROR((((Q72)/(AVERAGE(R69:S69)))*4.3),"∞"))</f>
        <v>25.968627450980389</v>
      </c>
      <c r="R73" s="35">
        <f t="shared" ref="R73" si="320">IF(R72=0,0,IFERROR((((R72)/(AVERAGE(S69:T69)))*4.3),"∞"))</f>
        <v>13.501075268817203</v>
      </c>
      <c r="S73" s="35">
        <f t="shared" ref="S73" si="321">IF(S72=0,0,IFERROR((((S72)/(AVERAGE(T69:U69)))*4.3),"∞"))</f>
        <v>9.8422222222222207</v>
      </c>
      <c r="T73" s="35">
        <f t="shared" ref="T73" si="322">IF(T72=0,0,IFERROR((((T72)/(AVERAGE(U69:V69)))*4.3),"∞"))</f>
        <v>3.7983333333333329</v>
      </c>
      <c r="U73" s="35">
        <f t="shared" ref="U73" si="323">IF(U72=0,0,IFERROR((((U72)/(AVERAGE(V69:W69)))*4.3),"∞"))</f>
        <v>0.69874999999999998</v>
      </c>
      <c r="V73" s="35">
        <f t="shared" ref="V73" si="324">IF(V72=0,0,IFERROR((((V72)/(AVERAGE(W69:X69)))*4.3),"∞"))</f>
        <v>4.4612500000000006</v>
      </c>
      <c r="W73" s="35">
        <f t="shared" ref="W73" si="325">IF(W72=0,0,IFERROR((((W72)/(AVERAGE(X69:Y69)))*4.3),"∞"))</f>
        <v>11.263225806451612</v>
      </c>
      <c r="X73" s="35">
        <f t="shared" ref="X73" si="326">IF(X72=0,0,IFERROR((((X72)/(AVERAGE(Y69:Z69)))*4.3),"∞"))</f>
        <v>7.0519999999999996</v>
      </c>
      <c r="Y73" s="35">
        <f t="shared" ref="Y73" si="327">IF(Y72=0,0,IFERROR((((Y72)/(AVERAGE(Z69:AA69)))*4.3),"∞"))</f>
        <v>10.182399999999999</v>
      </c>
      <c r="Z73" s="35">
        <f t="shared" ref="Z73" si="328">IF(Z72=0,0,IFERROR((((Z72)/(AVERAGE(AA69:AB69)))*4.3),"∞"))</f>
        <v>16.597999999999999</v>
      </c>
      <c r="AA73" s="35">
        <f>IF(AA72=0,0,IFERROR((((AA72)/(AVERAGE(AB69,AD69)))*4.3),"∞"))</f>
        <v>15.3725</v>
      </c>
      <c r="AB73" s="35">
        <f>IF(AB72=0,0,IFERROR((((AB72)/(AVERAGE(AD69:AE69)))*4.3),"∞"))</f>
        <v>13.33</v>
      </c>
      <c r="AC73" s="36"/>
      <c r="AD73" s="35">
        <f>IF(AD72=0,0,IFERROR((((AD72)/(AVERAGE(AE69:AF69)))*4.3),"∞"))</f>
        <v>7.8875739644970402</v>
      </c>
      <c r="AE73" s="35">
        <f t="shared" ref="AE73" si="329">IF(AE72=0,0,IFERROR((((AE72)/(AVERAGE(AF69:AG69)))*4.3),"∞"))</f>
        <v>6.5343137254901951</v>
      </c>
      <c r="AF73" s="35">
        <f t="shared" ref="AF73" si="330">IF(AF72=0,0,IFERROR((((AF72)/(AVERAGE(AG69:AH69)))*4.3),"∞"))</f>
        <v>21.134640522875817</v>
      </c>
      <c r="AG73" s="35">
        <f t="shared" ref="AG73" si="331">IF(AG72=0,0,IFERROR((((AG72)/(AVERAGE(AH69:AI69)))*4.3),"∞"))</f>
        <v>15.850980392156865</v>
      </c>
      <c r="AH73" s="35">
        <f t="shared" ref="AH73" si="332">IF(AH72=0,0,IFERROR((((AH72)/(AVERAGE(AI69:AJ69)))*4.3),"∞"))</f>
        <v>12.425735294117649</v>
      </c>
      <c r="AI73" s="35">
        <f t="shared" ref="AI73" si="333">IF(AI72=0,0,IFERROR((((AI72)/(AVERAGE(AJ69:AK69)))*4.3),"∞"))</f>
        <v>10.813235294117648</v>
      </c>
      <c r="AJ73" s="35">
        <f t="shared" ref="AJ73" si="334">IF(AJ72=0,0,IFERROR((((AJ72)/(AVERAGE(AK69:AL69)))*4.3),"∞"))</f>
        <v>9.4975332068311218</v>
      </c>
      <c r="AK73" s="35">
        <f t="shared" ref="AK73" si="335">IF(AK72=0,0,IFERROR((((AK72)/(AVERAGE(AL69:AM69)))*4.3),"∞"))</f>
        <v>8.0941176470588267</v>
      </c>
      <c r="AL73" s="35">
        <f t="shared" ref="AL73" si="336">IF(AL72=0,0,IFERROR((((AL72)/(AVERAGE(AM69:AN69)))*4.3),"∞"))</f>
        <v>7.992941176470592</v>
      </c>
      <c r="AM73" s="35">
        <f t="shared" ref="AM73" si="337">IF(AM72=0,0,IFERROR((((AM72)/(AVERAGE(AN69:AO69)))*4.3),"∞"))</f>
        <v>6.9811764705882409</v>
      </c>
      <c r="AN73" s="35">
        <f>IF(AN72=0,0,IFERROR((((AN72)/(AVERAGE(AO69,AQ69)))*4.3),"∞"))</f>
        <v>6.1211764705882405</v>
      </c>
      <c r="AO73" s="35" t="str">
        <f>IF(AO72=0,0,IFERROR((((AO72)/(AVERAGE(AQ69:AR69)))*4.3),"∞"))</f>
        <v>∞</v>
      </c>
      <c r="AP73" s="36"/>
    </row>
    <row r="74" spans="2:42" s="23" customFormat="1" ht="15" thickBot="1" x14ac:dyDescent="0.4">
      <c r="B74" s="22"/>
      <c r="D74" s="74"/>
      <c r="E74" s="74"/>
      <c r="F74" s="74"/>
      <c r="G74" s="74"/>
      <c r="H74" s="74"/>
      <c r="I74" s="74"/>
      <c r="J74" s="74"/>
      <c r="K74" s="74"/>
      <c r="L74" s="24"/>
      <c r="M74" s="24"/>
      <c r="N74" s="24"/>
      <c r="O74" s="24"/>
      <c r="P74" s="25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5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5"/>
    </row>
    <row r="75" spans="2:42" ht="14.5" customHeight="1" x14ac:dyDescent="0.35">
      <c r="B75" s="162" t="str">
        <f>'IMS vs FRCST'!B22</f>
        <v>Al Fakher Mint 50g</v>
      </c>
      <c r="C75" s="21" t="s">
        <v>53</v>
      </c>
      <c r="D75" s="70">
        <v>0</v>
      </c>
      <c r="E75" s="70">
        <f t="shared" ref="E75" si="338">D80</f>
        <v>0</v>
      </c>
      <c r="F75" s="70">
        <f t="shared" ref="F75:O75" si="339">E80</f>
        <v>451</v>
      </c>
      <c r="G75" s="70">
        <f t="shared" si="339"/>
        <v>791</v>
      </c>
      <c r="H75" s="70">
        <f t="shared" si="339"/>
        <v>390</v>
      </c>
      <c r="I75" s="70">
        <f t="shared" si="339"/>
        <v>200</v>
      </c>
      <c r="J75" s="70">
        <f t="shared" si="339"/>
        <v>1</v>
      </c>
      <c r="K75" s="70">
        <f t="shared" si="339"/>
        <v>239</v>
      </c>
      <c r="L75" s="32">
        <f t="shared" si="339"/>
        <v>401</v>
      </c>
      <c r="M75" s="32">
        <f t="shared" si="339"/>
        <v>704</v>
      </c>
      <c r="N75" s="32">
        <f t="shared" si="339"/>
        <v>206</v>
      </c>
      <c r="O75" s="32">
        <f t="shared" si="339"/>
        <v>221</v>
      </c>
      <c r="P75" s="33"/>
      <c r="Q75" s="32">
        <f>O80</f>
        <v>736</v>
      </c>
      <c r="R75" s="32">
        <f t="shared" ref="R75:AB75" si="340">Q80</f>
        <v>397</v>
      </c>
      <c r="S75" s="32">
        <f t="shared" si="340"/>
        <v>303</v>
      </c>
      <c r="T75" s="32">
        <f t="shared" si="340"/>
        <v>734</v>
      </c>
      <c r="U75" s="32">
        <f t="shared" si="340"/>
        <v>784</v>
      </c>
      <c r="V75" s="32">
        <f t="shared" si="340"/>
        <v>684</v>
      </c>
      <c r="W75" s="32">
        <f t="shared" si="340"/>
        <v>784</v>
      </c>
      <c r="X75" s="32">
        <f t="shared" si="340"/>
        <v>784</v>
      </c>
      <c r="Y75" s="32">
        <f t="shared" si="340"/>
        <v>634</v>
      </c>
      <c r="Z75" s="32">
        <f t="shared" si="340"/>
        <v>734</v>
      </c>
      <c r="AA75" s="32">
        <f t="shared" si="340"/>
        <v>434</v>
      </c>
      <c r="AB75" s="32">
        <f t="shared" si="340"/>
        <v>384</v>
      </c>
      <c r="AC75" s="33"/>
      <c r="AD75" s="32">
        <f>AB80</f>
        <v>684</v>
      </c>
      <c r="AE75" s="32">
        <f t="shared" ref="AE75" si="341">AD80</f>
        <v>684</v>
      </c>
      <c r="AF75" s="32">
        <f t="shared" ref="AF75" si="342">AE80</f>
        <v>684</v>
      </c>
      <c r="AG75" s="32">
        <f t="shared" ref="AG75" si="343">AF80</f>
        <v>684</v>
      </c>
      <c r="AH75" s="32">
        <f t="shared" ref="AH75" si="344">AG80</f>
        <v>735</v>
      </c>
      <c r="AI75" s="32">
        <f t="shared" ref="AI75" si="345">AH80</f>
        <v>837</v>
      </c>
      <c r="AJ75" s="32">
        <f t="shared" ref="AJ75" si="346">AI80</f>
        <v>939</v>
      </c>
      <c r="AK75" s="32">
        <f t="shared" ref="AK75" si="347">AJ80</f>
        <v>1041</v>
      </c>
      <c r="AL75" s="32">
        <f t="shared" ref="AL75" si="348">AK80</f>
        <v>1143</v>
      </c>
      <c r="AM75" s="32">
        <f t="shared" ref="AM75" si="349">AL80</f>
        <v>1143</v>
      </c>
      <c r="AN75" s="32">
        <f t="shared" ref="AN75" si="350">AM80</f>
        <v>1194</v>
      </c>
      <c r="AO75" s="32">
        <f t="shared" ref="AO75" si="351">AN80</f>
        <v>1143</v>
      </c>
      <c r="AP75" s="33"/>
    </row>
    <row r="76" spans="2:42" x14ac:dyDescent="0.35">
      <c r="B76" s="163"/>
      <c r="C76" s="4" t="s">
        <v>54</v>
      </c>
      <c r="D76" s="71"/>
      <c r="E76" s="71"/>
      <c r="F76" s="71"/>
      <c r="G76" s="71"/>
      <c r="H76" s="71"/>
      <c r="I76" s="71"/>
      <c r="J76" s="71"/>
      <c r="K76" s="71"/>
      <c r="L76" s="27"/>
      <c r="M76" s="27"/>
      <c r="N76" s="27"/>
      <c r="O76" s="27"/>
      <c r="P76" s="26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6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6"/>
    </row>
    <row r="77" spans="2:42" s="6" customFormat="1" x14ac:dyDescent="0.35">
      <c r="B77" s="163"/>
      <c r="C77" s="42" t="s">
        <v>55</v>
      </c>
      <c r="D77" s="44">
        <f>'IMS vs FRCST'!C22</f>
        <v>0</v>
      </c>
      <c r="E77" s="44">
        <f>'IMS vs FRCST'!D22</f>
        <v>0</v>
      </c>
      <c r="F77" s="44">
        <f>'IMS vs FRCST'!E22</f>
        <v>845</v>
      </c>
      <c r="G77" s="44">
        <f>'IMS vs FRCST'!F22</f>
        <v>401</v>
      </c>
      <c r="H77" s="44">
        <f>'IMS vs FRCST'!G22</f>
        <v>190</v>
      </c>
      <c r="I77" s="44">
        <f>'IMS vs FRCST'!H22</f>
        <v>199</v>
      </c>
      <c r="J77" s="44">
        <f>'IMS vs FRCST'!I22</f>
        <v>450</v>
      </c>
      <c r="K77" s="44">
        <f>'IMS vs FRCST'!J22</f>
        <v>235</v>
      </c>
      <c r="L77" s="43">
        <f>'IMS vs FRCST'!K22</f>
        <v>299</v>
      </c>
      <c r="M77" s="43">
        <f>'IMS vs FRCST'!L22</f>
        <v>498</v>
      </c>
      <c r="N77" s="43">
        <f>'IMS vs FRCST'!M22</f>
        <v>391</v>
      </c>
      <c r="O77" s="43">
        <f>'IMS vs FRCST'!N22</f>
        <v>26</v>
      </c>
      <c r="P77" s="26">
        <f>SUM(D77:O77)</f>
        <v>3534</v>
      </c>
      <c r="Q77" s="28">
        <f>'IMS vs FRCST'!P22</f>
        <v>339</v>
      </c>
      <c r="R77" s="28">
        <f>'IMS vs FRCST'!Q22</f>
        <v>94</v>
      </c>
      <c r="S77" s="28">
        <f>'IMS vs FRCST'!R22</f>
        <v>113</v>
      </c>
      <c r="T77" s="28">
        <f>'IMS vs FRCST'!S22</f>
        <v>400</v>
      </c>
      <c r="U77" s="28">
        <f>'IMS vs FRCST'!T22</f>
        <v>400</v>
      </c>
      <c r="V77" s="28">
        <f>'IMS vs FRCST'!U22</f>
        <v>400</v>
      </c>
      <c r="W77" s="28">
        <f>'IMS vs FRCST'!V22</f>
        <v>400</v>
      </c>
      <c r="X77" s="28">
        <f>'IMS vs FRCST'!W22</f>
        <v>400</v>
      </c>
      <c r="Y77" s="28">
        <f>'IMS vs FRCST'!X22</f>
        <v>400</v>
      </c>
      <c r="Z77" s="28">
        <f>'IMS vs FRCST'!Y22</f>
        <v>300</v>
      </c>
      <c r="AA77" s="28">
        <f>'IMS vs FRCST'!Z22</f>
        <v>300</v>
      </c>
      <c r="AB77" s="28">
        <f>'IMS vs FRCST'!AA22</f>
        <v>200</v>
      </c>
      <c r="AC77" s="26">
        <f>SUM(Q77:AB77)</f>
        <v>3746</v>
      </c>
      <c r="AD77" s="28">
        <f>'IMS vs FRCST'!AC22</f>
        <v>400</v>
      </c>
      <c r="AE77" s="28">
        <f>'IMS vs FRCST'!AD22</f>
        <v>300</v>
      </c>
      <c r="AF77" s="28">
        <f>'IMS vs FRCST'!AE22</f>
        <v>306</v>
      </c>
      <c r="AG77" s="28">
        <f>'IMS vs FRCST'!AF22</f>
        <v>408</v>
      </c>
      <c r="AH77" s="28">
        <f>'IMS vs FRCST'!AG22</f>
        <v>408</v>
      </c>
      <c r="AI77" s="28">
        <f>'IMS vs FRCST'!AH22</f>
        <v>408</v>
      </c>
      <c r="AJ77" s="28">
        <f>'IMS vs FRCST'!AI22</f>
        <v>408</v>
      </c>
      <c r="AK77" s="28">
        <f>'IMS vs FRCST'!AJ22</f>
        <v>408</v>
      </c>
      <c r="AL77" s="28">
        <f>'IMS vs FRCST'!AK22</f>
        <v>408</v>
      </c>
      <c r="AM77" s="28">
        <f>'IMS vs FRCST'!AL22</f>
        <v>306</v>
      </c>
      <c r="AN77" s="28">
        <f>'IMS vs FRCST'!AM22</f>
        <v>306</v>
      </c>
      <c r="AO77" s="28">
        <f>'IMS vs FRCST'!AN22</f>
        <v>204</v>
      </c>
      <c r="AP77" s="26">
        <f>SUM(AD77:AO77)</f>
        <v>4270</v>
      </c>
    </row>
    <row r="78" spans="2:42" x14ac:dyDescent="0.35">
      <c r="B78" s="163"/>
      <c r="C78" s="4" t="s">
        <v>56</v>
      </c>
      <c r="D78" s="71">
        <f>'Shipment (Production)'!G23</f>
        <v>0</v>
      </c>
      <c r="E78" s="71">
        <f>'Shipment (Production)'!L23</f>
        <v>451</v>
      </c>
      <c r="F78" s="71">
        <f>'Shipment (Production)'!Q23</f>
        <v>1185</v>
      </c>
      <c r="G78" s="71">
        <f>'Shipment (Production)'!V23</f>
        <v>0</v>
      </c>
      <c r="H78" s="71">
        <f>'Shipment (Production)'!AA23</f>
        <v>0</v>
      </c>
      <c r="I78" s="71">
        <f>'Shipment (Production)'!AF23</f>
        <v>0</v>
      </c>
      <c r="J78" s="71">
        <f>'Shipment (Production)'!AK23</f>
        <v>688</v>
      </c>
      <c r="K78" s="71">
        <f>'Shipment (Production)'!AP23</f>
        <v>397</v>
      </c>
      <c r="L78" s="27">
        <f>'Shipment (Production)'!AU23</f>
        <v>602</v>
      </c>
      <c r="M78" s="27">
        <f>'Shipment (Production)'!AZ23</f>
        <v>0</v>
      </c>
      <c r="N78" s="27">
        <f>'Shipment (Production)'!BE23</f>
        <v>947</v>
      </c>
      <c r="O78" s="27">
        <f>'Shipment (Production)'!BJ23</f>
        <v>0</v>
      </c>
      <c r="P78" s="26">
        <f>SUM(D78:O78)</f>
        <v>4270</v>
      </c>
      <c r="Q78" s="27">
        <f>'Shipment (Production)'!BP23</f>
        <v>0</v>
      </c>
      <c r="R78" s="27">
        <f>'Shipment (Production)'!BU23</f>
        <v>544</v>
      </c>
      <c r="S78" s="27">
        <f>'Shipment (Production)'!BZ23</f>
        <v>450</v>
      </c>
      <c r="T78" s="27">
        <f>'Shipment (Production)'!CE23</f>
        <v>300</v>
      </c>
      <c r="U78" s="27">
        <f>'Shipment (Production)'!CJ23</f>
        <v>500</v>
      </c>
      <c r="V78" s="27">
        <f>'Shipment (Production)'!CO23</f>
        <v>400</v>
      </c>
      <c r="W78" s="27">
        <f>'Shipment (Production)'!CT23</f>
        <v>250</v>
      </c>
      <c r="X78" s="27">
        <f>'Shipment (Production)'!CY23</f>
        <v>250</v>
      </c>
      <c r="Y78" s="27">
        <f>'Shipment (Production)'!DD23</f>
        <v>250</v>
      </c>
      <c r="Z78" s="27">
        <f>'Shipment (Production)'!DI23</f>
        <v>250</v>
      </c>
      <c r="AA78" s="27">
        <f>'Shipment (Production)'!DN23</f>
        <v>250</v>
      </c>
      <c r="AB78" s="27">
        <f>'Shipment (Production)'!DS23</f>
        <v>250</v>
      </c>
      <c r="AC78" s="26">
        <f>SUM(Q78:AB78)</f>
        <v>3694</v>
      </c>
      <c r="AD78" s="27">
        <f>'Shipment (Production)'!DY23</f>
        <v>400</v>
      </c>
      <c r="AE78" s="27">
        <f>'Shipment (Production)'!ED23</f>
        <v>300</v>
      </c>
      <c r="AF78" s="27">
        <f>'Shipment (Production)'!EI23</f>
        <v>306</v>
      </c>
      <c r="AG78" s="27">
        <f>'Shipment (Production)'!EN23</f>
        <v>459</v>
      </c>
      <c r="AH78" s="27">
        <f>'Shipment (Production)'!ES23</f>
        <v>510</v>
      </c>
      <c r="AI78" s="27">
        <f>'Shipment (Production)'!EX23</f>
        <v>510</v>
      </c>
      <c r="AJ78" s="27">
        <f>'Shipment (Production)'!FC23</f>
        <v>510</v>
      </c>
      <c r="AK78" s="27">
        <f>'Shipment (Production)'!FH23</f>
        <v>510</v>
      </c>
      <c r="AL78" s="27">
        <f>'Shipment (Production)'!FM23</f>
        <v>408</v>
      </c>
      <c r="AM78" s="27">
        <f>'Shipment (Production)'!FR23</f>
        <v>357</v>
      </c>
      <c r="AN78" s="27">
        <f>'Shipment (Production)'!FW23</f>
        <v>255</v>
      </c>
      <c r="AO78" s="27">
        <f>'Shipment (Production)'!GB23</f>
        <v>255</v>
      </c>
      <c r="AP78" s="26">
        <f>SUM(AD78:AO78)</f>
        <v>4780</v>
      </c>
    </row>
    <row r="79" spans="2:42" x14ac:dyDescent="0.35">
      <c r="B79" s="163"/>
      <c r="C79" s="4" t="s">
        <v>57</v>
      </c>
      <c r="D79" s="71">
        <f>'Arrival to Regie'!G23</f>
        <v>0</v>
      </c>
      <c r="E79" s="71">
        <f>'Arrival to Regie'!L23</f>
        <v>451</v>
      </c>
      <c r="F79" s="71">
        <f>'Arrival to Regie'!Q23</f>
        <v>1185</v>
      </c>
      <c r="G79" s="71">
        <f>'Arrival to Regie'!V23</f>
        <v>0</v>
      </c>
      <c r="H79" s="71">
        <f>'Arrival to Regie'!AA23</f>
        <v>0</v>
      </c>
      <c r="I79" s="71">
        <f>'Arrival to Regie'!AF23</f>
        <v>0</v>
      </c>
      <c r="J79" s="71">
        <f>'Arrival to Regie'!AK23</f>
        <v>688</v>
      </c>
      <c r="K79" s="71">
        <f>'Arrival to Regie'!AP23</f>
        <v>397</v>
      </c>
      <c r="L79" s="27">
        <f>'Arrival to Regie'!AU23</f>
        <v>602</v>
      </c>
      <c r="M79" s="27">
        <f>'Arrival to Regie'!AZ23</f>
        <v>0</v>
      </c>
      <c r="N79" s="27">
        <f>'Arrival to Regie'!BE23</f>
        <v>406</v>
      </c>
      <c r="O79" s="27">
        <f>'Arrival to Regie'!BJ23</f>
        <v>541</v>
      </c>
      <c r="P79" s="26">
        <f>SUM(D79:O79)</f>
        <v>4270</v>
      </c>
      <c r="Q79" s="27">
        <f>'Arrival to Regie'!BP23</f>
        <v>0</v>
      </c>
      <c r="R79" s="27">
        <f>'Arrival to Regie'!BU23</f>
        <v>0</v>
      </c>
      <c r="S79" s="27">
        <f>'Arrival to Regie'!BZ23</f>
        <v>544</v>
      </c>
      <c r="T79" s="27">
        <f>'Arrival to Regie'!CE23</f>
        <v>450</v>
      </c>
      <c r="U79" s="27">
        <f>'Arrival to Regie'!CJ23</f>
        <v>300</v>
      </c>
      <c r="V79" s="27">
        <f>'Arrival to Regie'!CO23</f>
        <v>500</v>
      </c>
      <c r="W79" s="27">
        <f>'Arrival to Regie'!CT23</f>
        <v>400</v>
      </c>
      <c r="X79" s="27">
        <f>'Arrival to Regie'!CY23</f>
        <v>250</v>
      </c>
      <c r="Y79" s="27">
        <f>'Arrival to Regie'!DD23</f>
        <v>500</v>
      </c>
      <c r="Z79" s="27">
        <f>'Arrival to Regie'!DI23</f>
        <v>0</v>
      </c>
      <c r="AA79" s="27">
        <f>'Arrival to Regie'!DN23</f>
        <v>250</v>
      </c>
      <c r="AB79" s="27">
        <f>'Arrival to Regie'!DS23</f>
        <v>500</v>
      </c>
      <c r="AC79" s="26">
        <f>SUM(Q79:AB79)</f>
        <v>3694</v>
      </c>
      <c r="AD79" s="27">
        <f>'Arrival to Regie'!DY23</f>
        <v>400</v>
      </c>
      <c r="AE79" s="27">
        <f>'Arrival to Regie'!ED23</f>
        <v>300</v>
      </c>
      <c r="AF79" s="27">
        <f>'Arrival to Regie'!EI23</f>
        <v>306</v>
      </c>
      <c r="AG79" s="27">
        <f>'Arrival to Regie'!EN23</f>
        <v>459</v>
      </c>
      <c r="AH79" s="27">
        <f>'Arrival to Regie'!ES23</f>
        <v>510</v>
      </c>
      <c r="AI79" s="27">
        <f>'Arrival to Regie'!EX23</f>
        <v>510</v>
      </c>
      <c r="AJ79" s="27">
        <f>'Arrival to Regie'!FC23</f>
        <v>510</v>
      </c>
      <c r="AK79" s="27">
        <f>'Arrival to Regie'!FH23</f>
        <v>510</v>
      </c>
      <c r="AL79" s="27">
        <f>'Arrival to Regie'!FM23</f>
        <v>408</v>
      </c>
      <c r="AM79" s="27">
        <f>'Arrival to Regie'!FR23</f>
        <v>357</v>
      </c>
      <c r="AN79" s="27">
        <f>'Arrival to Regie'!FW23</f>
        <v>255</v>
      </c>
      <c r="AO79" s="27">
        <f>'Arrival to Regie'!GB23</f>
        <v>255</v>
      </c>
      <c r="AP79" s="26">
        <f>SUM(AD79:AO79)</f>
        <v>4780</v>
      </c>
    </row>
    <row r="80" spans="2:42" x14ac:dyDescent="0.35">
      <c r="B80" s="163"/>
      <c r="C80" s="47" t="s">
        <v>58</v>
      </c>
      <c r="D80" s="72">
        <f t="shared" ref="D80:AB80" si="352">D75+D76+D79-D77</f>
        <v>0</v>
      </c>
      <c r="E80" s="72">
        <f t="shared" si="352"/>
        <v>451</v>
      </c>
      <c r="F80" s="72">
        <f t="shared" si="352"/>
        <v>791</v>
      </c>
      <c r="G80" s="72">
        <f t="shared" si="352"/>
        <v>390</v>
      </c>
      <c r="H80" s="72">
        <f t="shared" si="352"/>
        <v>200</v>
      </c>
      <c r="I80" s="72">
        <f t="shared" si="352"/>
        <v>1</v>
      </c>
      <c r="J80" s="72">
        <f t="shared" si="352"/>
        <v>239</v>
      </c>
      <c r="K80" s="72">
        <f t="shared" si="352"/>
        <v>401</v>
      </c>
      <c r="L80" s="48">
        <f t="shared" si="352"/>
        <v>704</v>
      </c>
      <c r="M80" s="48">
        <f t="shared" si="352"/>
        <v>206</v>
      </c>
      <c r="N80" s="48">
        <f t="shared" si="352"/>
        <v>221</v>
      </c>
      <c r="O80" s="48">
        <f t="shared" si="352"/>
        <v>736</v>
      </c>
      <c r="P80" s="26"/>
      <c r="Q80" s="48">
        <f t="shared" si="352"/>
        <v>397</v>
      </c>
      <c r="R80" s="48">
        <f t="shared" si="352"/>
        <v>303</v>
      </c>
      <c r="S80" s="48">
        <f t="shared" si="352"/>
        <v>734</v>
      </c>
      <c r="T80" s="48">
        <f t="shared" si="352"/>
        <v>784</v>
      </c>
      <c r="U80" s="48">
        <f t="shared" si="352"/>
        <v>684</v>
      </c>
      <c r="V80" s="48">
        <f t="shared" si="352"/>
        <v>784</v>
      </c>
      <c r="W80" s="48">
        <f t="shared" si="352"/>
        <v>784</v>
      </c>
      <c r="X80" s="48">
        <f t="shared" si="352"/>
        <v>634</v>
      </c>
      <c r="Y80" s="48">
        <f t="shared" si="352"/>
        <v>734</v>
      </c>
      <c r="Z80" s="48">
        <f t="shared" si="352"/>
        <v>434</v>
      </c>
      <c r="AA80" s="48">
        <f t="shared" si="352"/>
        <v>384</v>
      </c>
      <c r="AB80" s="48">
        <f t="shared" si="352"/>
        <v>684</v>
      </c>
      <c r="AC80" s="26"/>
      <c r="AD80" s="48">
        <f t="shared" ref="AD80:AO80" si="353">AD75+AD76+AD79-AD77</f>
        <v>684</v>
      </c>
      <c r="AE80" s="48">
        <f t="shared" si="353"/>
        <v>684</v>
      </c>
      <c r="AF80" s="48">
        <f t="shared" si="353"/>
        <v>684</v>
      </c>
      <c r="AG80" s="48">
        <f t="shared" si="353"/>
        <v>735</v>
      </c>
      <c r="AH80" s="48">
        <f t="shared" si="353"/>
        <v>837</v>
      </c>
      <c r="AI80" s="48">
        <f t="shared" si="353"/>
        <v>939</v>
      </c>
      <c r="AJ80" s="48">
        <f t="shared" si="353"/>
        <v>1041</v>
      </c>
      <c r="AK80" s="48">
        <f t="shared" si="353"/>
        <v>1143</v>
      </c>
      <c r="AL80" s="48">
        <f t="shared" si="353"/>
        <v>1143</v>
      </c>
      <c r="AM80" s="48">
        <f t="shared" si="353"/>
        <v>1194</v>
      </c>
      <c r="AN80" s="48">
        <f t="shared" si="353"/>
        <v>1143</v>
      </c>
      <c r="AO80" s="48">
        <f t="shared" si="353"/>
        <v>1194</v>
      </c>
      <c r="AP80" s="26"/>
    </row>
    <row r="81" spans="2:42" ht="15" thickBot="1" x14ac:dyDescent="0.4">
      <c r="B81" s="164"/>
      <c r="C81" s="34" t="s">
        <v>59</v>
      </c>
      <c r="D81" s="35">
        <f>IF(D80=0,0,IFERROR((((D80)/(AVERAGE(E77:F77)))*4.3),"∞"))</f>
        <v>0</v>
      </c>
      <c r="E81" s="35">
        <f t="shared" ref="E81" si="354">IF(E80=0,0,IFERROR((((E80)/(AVERAGE(F77:G77)))*4.3),"∞"))</f>
        <v>3.1128410914927769</v>
      </c>
      <c r="F81" s="35">
        <f t="shared" ref="F81" si="355">IF(F80=0,0,IFERROR((((F80)/(AVERAGE(G77:H77)))*4.3),"∞"))</f>
        <v>11.510321489001692</v>
      </c>
      <c r="G81" s="35">
        <f t="shared" ref="G81" si="356">IF(G80=0,0,IFERROR((((G80)/(AVERAGE(H77:I77)))*4.3),"∞"))</f>
        <v>8.6221079691516707</v>
      </c>
      <c r="H81" s="35">
        <f t="shared" ref="H81" si="357">IF(H80=0,0,IFERROR((((H80)/(AVERAGE(I77:J77)))*4.3),"∞"))</f>
        <v>2.6502311248073958</v>
      </c>
      <c r="I81" s="35">
        <f t="shared" ref="I81" si="358">IF(I80=0,0,IFERROR((((I80)/(AVERAGE(J77:K77)))*4.3),"∞"))</f>
        <v>1.2554744525547444E-2</v>
      </c>
      <c r="J81" s="35">
        <f t="shared" ref="J81" si="359">IF(J80=0,0,IFERROR((((J80)/(AVERAGE(K77:L77)))*4.3),"∞"))</f>
        <v>3.8490636704119847</v>
      </c>
      <c r="K81" s="35">
        <f t="shared" ref="K81" si="360">IF(K80=0,0,IFERROR((((K80)/(AVERAGE(L77:M77)))*4.3),"∞"))</f>
        <v>4.3269761606022579</v>
      </c>
      <c r="L81" s="35">
        <f t="shared" ref="L81" si="361">IF(L80=0,0,IFERROR((((L80)/(AVERAGE(M77:N77)))*4.3),"∞"))</f>
        <v>6.8103487064116983</v>
      </c>
      <c r="M81" s="35">
        <f t="shared" ref="M81" si="362">IF(M80=0,0,IFERROR((((M80)/(AVERAGE(N77:O77)))*4.3),"∞"))</f>
        <v>4.2484412470023978</v>
      </c>
      <c r="N81" s="35">
        <f>IF(N80=0,0,IFERROR((((N80)/(AVERAGE(O77,Q77)))*4.3),"∞"))</f>
        <v>5.2071232876712319</v>
      </c>
      <c r="O81" s="35">
        <f>IF(O80=0,0,IFERROR((((O80)/(AVERAGE(Q77:R77)))*4.3),"∞"))</f>
        <v>14.618013856812933</v>
      </c>
      <c r="P81" s="36"/>
      <c r="Q81" s="35">
        <f>IF(Q80=0,0,IFERROR((((Q80)/(AVERAGE(R77:S77)))*4.3),"∞"))</f>
        <v>16.493719806763284</v>
      </c>
      <c r="R81" s="35">
        <f t="shared" ref="R81" si="363">IF(R80=0,0,IFERROR((((R80)/(AVERAGE(S77:T77)))*4.3),"∞"))</f>
        <v>5.07953216374269</v>
      </c>
      <c r="S81" s="35">
        <f t="shared" ref="S81" si="364">IF(S80=0,0,IFERROR((((S80)/(AVERAGE(T77:U77)))*4.3),"∞"))</f>
        <v>7.8904999999999994</v>
      </c>
      <c r="T81" s="35">
        <f t="shared" ref="T81" si="365">IF(T80=0,0,IFERROR((((T80)/(AVERAGE(U77:V77)))*4.3),"∞"))</f>
        <v>8.427999999999999</v>
      </c>
      <c r="U81" s="35">
        <f t="shared" ref="U81" si="366">IF(U80=0,0,IFERROR((((U80)/(AVERAGE(V77:W77)))*4.3),"∞"))</f>
        <v>7.3529999999999998</v>
      </c>
      <c r="V81" s="35">
        <f t="shared" ref="V81" si="367">IF(V80=0,0,IFERROR((((V80)/(AVERAGE(W77:X77)))*4.3),"∞"))</f>
        <v>8.427999999999999</v>
      </c>
      <c r="W81" s="35">
        <f t="shared" ref="W81" si="368">IF(W80=0,0,IFERROR((((W80)/(AVERAGE(X77:Y77)))*4.3),"∞"))</f>
        <v>8.427999999999999</v>
      </c>
      <c r="X81" s="35">
        <f t="shared" ref="X81" si="369">IF(X80=0,0,IFERROR((((X80)/(AVERAGE(Y77:Z77)))*4.3),"∞"))</f>
        <v>7.7891428571428563</v>
      </c>
      <c r="Y81" s="35">
        <f t="shared" ref="Y81" si="370">IF(Y80=0,0,IFERROR((((Y80)/(AVERAGE(Z77:AA77)))*4.3),"∞"))</f>
        <v>10.520666666666667</v>
      </c>
      <c r="Z81" s="35">
        <f t="shared" ref="Z81" si="371">IF(Z80=0,0,IFERROR((((Z80)/(AVERAGE(AA77:AB77)))*4.3),"∞"))</f>
        <v>7.4647999999999994</v>
      </c>
      <c r="AA81" s="35">
        <f>IF(AA80=0,0,IFERROR((((AA80)/(AVERAGE(AB77,AD77)))*4.3),"∞"))</f>
        <v>5.5039999999999996</v>
      </c>
      <c r="AB81" s="35">
        <f>IF(AB80=0,0,IFERROR((((AB80)/(AVERAGE(AD77:AE77)))*4.3),"∞"))</f>
        <v>8.4034285714285701</v>
      </c>
      <c r="AC81" s="36"/>
      <c r="AD81" s="35">
        <f>IF(AD80=0,0,IFERROR((((AD80)/(AVERAGE(AE77:AF77)))*4.3),"∞"))</f>
        <v>9.7069306930693049</v>
      </c>
      <c r="AE81" s="35">
        <f t="shared" ref="AE81" si="372">IF(AE80=0,0,IFERROR((((AE80)/(AVERAGE(AF77:AG77)))*4.3),"∞"))</f>
        <v>8.2386554621848731</v>
      </c>
      <c r="AF81" s="35">
        <f t="shared" ref="AF81" si="373">IF(AF80=0,0,IFERROR((((AF80)/(AVERAGE(AG77:AH77)))*4.3),"∞"))</f>
        <v>7.2088235294117649</v>
      </c>
      <c r="AG81" s="35">
        <f t="shared" ref="AG81" si="374">IF(AG80=0,0,IFERROR((((AG80)/(AVERAGE(AH77:AI77)))*4.3),"∞"))</f>
        <v>7.7463235294117645</v>
      </c>
      <c r="AH81" s="35">
        <f t="shared" ref="AH81" si="375">IF(AH80=0,0,IFERROR((((AH80)/(AVERAGE(AI77:AJ77)))*4.3),"∞"))</f>
        <v>8.8213235294117638</v>
      </c>
      <c r="AI81" s="35">
        <f t="shared" ref="AI81" si="376">IF(AI80=0,0,IFERROR((((AI80)/(AVERAGE(AJ77:AK77)))*4.3),"∞"))</f>
        <v>9.8963235294117631</v>
      </c>
      <c r="AJ81" s="35">
        <f t="shared" ref="AJ81" si="377">IF(AJ80=0,0,IFERROR((((AJ80)/(AVERAGE(AK77:AL77)))*4.3),"∞"))</f>
        <v>10.971323529411764</v>
      </c>
      <c r="AK81" s="35">
        <f t="shared" ref="AK81" si="378">IF(AK80=0,0,IFERROR((((AK80)/(AVERAGE(AL77:AM77)))*4.3),"∞"))</f>
        <v>13.767226890756303</v>
      </c>
      <c r="AL81" s="35">
        <f t="shared" ref="AL81" si="379">IF(AL80=0,0,IFERROR((((AL80)/(AVERAGE(AM77:AN77)))*4.3),"∞"))</f>
        <v>16.061764705882354</v>
      </c>
      <c r="AM81" s="35">
        <f t="shared" ref="AM81" si="380">IF(AM80=0,0,IFERROR((((AM80)/(AVERAGE(AN77:AO77)))*4.3),"∞"))</f>
        <v>20.134117647058822</v>
      </c>
      <c r="AN81" s="35">
        <f>IF(AN80=0,0,IFERROR((((AN80)/(AVERAGE(AO77,AQ77)))*4.3),"∞"))</f>
        <v>24.092647058823527</v>
      </c>
      <c r="AO81" s="35" t="str">
        <f>IF(AO80=0,0,IFERROR((((AO80)/(AVERAGE(AQ77:AR77)))*4.3),"∞"))</f>
        <v>∞</v>
      </c>
      <c r="AP81" s="36"/>
    </row>
    <row r="82" spans="2:42" s="23" customFormat="1" ht="15" thickBot="1" x14ac:dyDescent="0.4">
      <c r="B82" s="22"/>
      <c r="D82" s="74"/>
      <c r="E82" s="74"/>
      <c r="F82" s="74"/>
      <c r="G82" s="74"/>
      <c r="H82" s="74"/>
      <c r="I82" s="74"/>
      <c r="J82" s="74"/>
      <c r="K82" s="74"/>
      <c r="L82" s="24"/>
      <c r="M82" s="24"/>
      <c r="N82" s="24"/>
      <c r="O82" s="24"/>
      <c r="P82" s="25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5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5"/>
    </row>
    <row r="83" spans="2:42" ht="14.5" customHeight="1" x14ac:dyDescent="0.35">
      <c r="B83" s="162" t="str">
        <f>'IMS vs FRCST'!B23</f>
        <v>Al Fakher Two apple 50g</v>
      </c>
      <c r="C83" s="21" t="s">
        <v>53</v>
      </c>
      <c r="D83" s="70">
        <v>0</v>
      </c>
      <c r="E83" s="70">
        <f t="shared" ref="E83:O83" si="381">D88</f>
        <v>1213</v>
      </c>
      <c r="F83" s="70">
        <f t="shared" si="381"/>
        <v>4304</v>
      </c>
      <c r="G83" s="70">
        <f t="shared" si="381"/>
        <v>2129</v>
      </c>
      <c r="H83" s="70">
        <f t="shared" si="381"/>
        <v>12</v>
      </c>
      <c r="I83" s="70">
        <f t="shared" si="381"/>
        <v>8</v>
      </c>
      <c r="J83" s="70">
        <f t="shared" si="381"/>
        <v>8</v>
      </c>
      <c r="K83" s="70">
        <f t="shared" si="381"/>
        <v>58</v>
      </c>
      <c r="L83" s="32">
        <f>K88</f>
        <v>3114</v>
      </c>
      <c r="M83" s="32">
        <f t="shared" si="381"/>
        <v>1379</v>
      </c>
      <c r="N83" s="32">
        <f t="shared" si="381"/>
        <v>3534</v>
      </c>
      <c r="O83" s="32">
        <f t="shared" si="381"/>
        <v>5931</v>
      </c>
      <c r="P83" s="33"/>
      <c r="Q83" s="32">
        <f>O88</f>
        <v>3065</v>
      </c>
      <c r="R83" s="32">
        <f t="shared" ref="R83:AB83" si="382">Q88</f>
        <v>1782</v>
      </c>
      <c r="S83" s="32">
        <f t="shared" si="382"/>
        <v>5497</v>
      </c>
      <c r="T83" s="32">
        <f t="shared" si="382"/>
        <v>6856</v>
      </c>
      <c r="U83" s="32">
        <f t="shared" si="382"/>
        <v>7356</v>
      </c>
      <c r="V83" s="32">
        <f t="shared" si="382"/>
        <v>8856</v>
      </c>
      <c r="W83" s="32">
        <f t="shared" si="382"/>
        <v>10356</v>
      </c>
      <c r="X83" s="32">
        <f t="shared" si="382"/>
        <v>11356</v>
      </c>
      <c r="Y83" s="32">
        <f t="shared" si="382"/>
        <v>12356</v>
      </c>
      <c r="Z83" s="32">
        <f t="shared" si="382"/>
        <v>14856</v>
      </c>
      <c r="AA83" s="32">
        <f t="shared" si="382"/>
        <v>16356</v>
      </c>
      <c r="AB83" s="32">
        <f t="shared" si="382"/>
        <v>18356</v>
      </c>
      <c r="AC83" s="33"/>
      <c r="AD83" s="32">
        <f>AB88</f>
        <v>19856</v>
      </c>
      <c r="AE83" s="32">
        <f t="shared" ref="AE83" si="383">AD88</f>
        <v>19856</v>
      </c>
      <c r="AF83" s="32">
        <f t="shared" ref="AF83" si="384">AE88</f>
        <v>19856</v>
      </c>
      <c r="AG83" s="32">
        <f t="shared" ref="AG83" si="385">AF88</f>
        <v>17816</v>
      </c>
      <c r="AH83" s="32">
        <f t="shared" ref="AH83" si="386">AG88</f>
        <v>17306</v>
      </c>
      <c r="AI83" s="32">
        <f t="shared" ref="AI83" si="387">AH88</f>
        <v>17816</v>
      </c>
      <c r="AJ83" s="32">
        <f t="shared" ref="AJ83" si="388">AI88</f>
        <v>18326</v>
      </c>
      <c r="AK83" s="32">
        <f t="shared" ref="AK83" si="389">AJ88</f>
        <v>18326</v>
      </c>
      <c r="AL83" s="32">
        <f t="shared" ref="AL83" si="390">AK88</f>
        <v>18326</v>
      </c>
      <c r="AM83" s="32">
        <f t="shared" ref="AM83" si="391">AL88</f>
        <v>18836</v>
      </c>
      <c r="AN83" s="32">
        <f t="shared" ref="AN83" si="392">AM88</f>
        <v>17816</v>
      </c>
      <c r="AO83" s="32">
        <f t="shared" ref="AO83" si="393">AN88</f>
        <v>17306</v>
      </c>
      <c r="AP83" s="33"/>
    </row>
    <row r="84" spans="2:42" x14ac:dyDescent="0.35">
      <c r="B84" s="163"/>
      <c r="C84" s="4" t="s">
        <v>54</v>
      </c>
      <c r="D84" s="71"/>
      <c r="E84" s="71"/>
      <c r="F84" s="71"/>
      <c r="G84" s="71"/>
      <c r="H84" s="71"/>
      <c r="I84" s="71"/>
      <c r="J84" s="71"/>
      <c r="K84" s="71"/>
      <c r="L84" s="27"/>
      <c r="M84" s="27"/>
      <c r="N84" s="27"/>
      <c r="O84" s="27"/>
      <c r="P84" s="26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6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6"/>
    </row>
    <row r="85" spans="2:42" s="6" customFormat="1" x14ac:dyDescent="0.35">
      <c r="B85" s="163"/>
      <c r="C85" s="42" t="s">
        <v>55</v>
      </c>
      <c r="D85" s="44">
        <f>'IMS vs FRCST'!C23</f>
        <v>8790</v>
      </c>
      <c r="E85" s="44">
        <f>'IMS vs FRCST'!D23</f>
        <v>1109</v>
      </c>
      <c r="F85" s="44">
        <f>'IMS vs FRCST'!E23</f>
        <v>8523</v>
      </c>
      <c r="G85" s="44">
        <f>'IMS vs FRCST'!F23</f>
        <v>8187</v>
      </c>
      <c r="H85" s="44">
        <f>'IMS vs FRCST'!G23</f>
        <v>4</v>
      </c>
      <c r="I85" s="44">
        <f>'IMS vs FRCST'!H23</f>
        <v>5001</v>
      </c>
      <c r="J85" s="44">
        <f>'IMS vs FRCST'!I23</f>
        <v>6654</v>
      </c>
      <c r="K85" s="44">
        <f>'IMS vs FRCST'!J23</f>
        <v>3946</v>
      </c>
      <c r="L85" s="43">
        <f>'IMS vs FRCST'!K23</f>
        <v>9735</v>
      </c>
      <c r="M85" s="43">
        <f>'IMS vs FRCST'!L23</f>
        <v>3845</v>
      </c>
      <c r="N85" s="43">
        <f>'IMS vs FRCST'!M23</f>
        <v>10560</v>
      </c>
      <c r="O85" s="43">
        <f>'IMS vs FRCST'!N23</f>
        <v>6450</v>
      </c>
      <c r="P85" s="26">
        <f>SUM(D85:O85)</f>
        <v>72804</v>
      </c>
      <c r="Q85" s="28">
        <f>'IMS vs FRCST'!P23</f>
        <v>8307</v>
      </c>
      <c r="R85" s="28">
        <f>'IMS vs FRCST'!Q23</f>
        <v>4286</v>
      </c>
      <c r="S85" s="28">
        <f>'IMS vs FRCST'!R23</f>
        <v>6641</v>
      </c>
      <c r="T85" s="28">
        <f>'IMS vs FRCST'!S23</f>
        <v>7500</v>
      </c>
      <c r="U85" s="28">
        <f>'IMS vs FRCST'!T23</f>
        <v>6500</v>
      </c>
      <c r="V85" s="28">
        <f>'IMS vs FRCST'!U23</f>
        <v>6500</v>
      </c>
      <c r="W85" s="28">
        <f>'IMS vs FRCST'!V23</f>
        <v>7000</v>
      </c>
      <c r="X85" s="28">
        <f>'IMS vs FRCST'!W23</f>
        <v>7000</v>
      </c>
      <c r="Y85" s="28">
        <f>'IMS vs FRCST'!X23</f>
        <v>6500</v>
      </c>
      <c r="Z85" s="28">
        <f>'IMS vs FRCST'!Y23</f>
        <v>6500</v>
      </c>
      <c r="AA85" s="28">
        <f>'IMS vs FRCST'!Z23</f>
        <v>6000</v>
      </c>
      <c r="AB85" s="28">
        <f>'IMS vs FRCST'!AA23</f>
        <v>4500</v>
      </c>
      <c r="AC85" s="26">
        <f>SUM(Q85:AB85)</f>
        <v>77234</v>
      </c>
      <c r="AD85" s="28">
        <f>'IMS vs FRCST'!AC23</f>
        <v>7500</v>
      </c>
      <c r="AE85" s="28">
        <f>'IMS vs FRCST'!AD23</f>
        <v>8000</v>
      </c>
      <c r="AF85" s="28">
        <f>'IMS vs FRCST'!AE23</f>
        <v>9180</v>
      </c>
      <c r="AG85" s="28">
        <f>'IMS vs FRCST'!AF23</f>
        <v>7650</v>
      </c>
      <c r="AH85" s="28">
        <f>'IMS vs FRCST'!AG23</f>
        <v>6630</v>
      </c>
      <c r="AI85" s="28">
        <f>'IMS vs FRCST'!AH23</f>
        <v>6630</v>
      </c>
      <c r="AJ85" s="28">
        <f>'IMS vs FRCST'!AI23</f>
        <v>7140</v>
      </c>
      <c r="AK85" s="28">
        <f>'IMS vs FRCST'!AJ23</f>
        <v>7140</v>
      </c>
      <c r="AL85" s="28">
        <f>'IMS vs FRCST'!AK23</f>
        <v>6630</v>
      </c>
      <c r="AM85" s="28">
        <f>'IMS vs FRCST'!AL23</f>
        <v>6630</v>
      </c>
      <c r="AN85" s="28">
        <f>'IMS vs FRCST'!AM23</f>
        <v>6120</v>
      </c>
      <c r="AO85" s="28">
        <f>'IMS vs FRCST'!AN23</f>
        <v>4590</v>
      </c>
      <c r="AP85" s="26">
        <f>SUM(AD85:AO85)</f>
        <v>83840</v>
      </c>
    </row>
    <row r="86" spans="2:42" x14ac:dyDescent="0.35">
      <c r="B86" s="163"/>
      <c r="C86" s="4" t="s">
        <v>56</v>
      </c>
      <c r="D86" s="71">
        <f>'Shipment (Production)'!G24</f>
        <v>10003</v>
      </c>
      <c r="E86" s="71">
        <f>'Shipment (Production)'!L24</f>
        <v>6416</v>
      </c>
      <c r="F86" s="71">
        <f>'Shipment (Production)'!Q24</f>
        <v>10202</v>
      </c>
      <c r="G86" s="71">
        <f>'Shipment (Production)'!V24</f>
        <v>0</v>
      </c>
      <c r="H86" s="71">
        <f>'Shipment (Production)'!AA24</f>
        <v>4358</v>
      </c>
      <c r="I86" s="71">
        <f>'Shipment (Production)'!AF24</f>
        <v>4073</v>
      </c>
      <c r="J86" s="71">
        <f>'Shipment (Production)'!AK24</f>
        <v>3274</v>
      </c>
      <c r="K86" s="71">
        <f>'Shipment (Production)'!AP24</f>
        <v>7002</v>
      </c>
      <c r="L86" s="27">
        <f>'Shipment (Production)'!AU24</f>
        <v>8000</v>
      </c>
      <c r="M86" s="27">
        <f>'Shipment (Production)'!AZ24</f>
        <v>9510</v>
      </c>
      <c r="N86" s="27">
        <f>'Shipment (Production)'!BE24</f>
        <v>13031</v>
      </c>
      <c r="O86" s="27">
        <f>'Shipment (Production)'!BJ24</f>
        <v>0</v>
      </c>
      <c r="P86" s="26">
        <f>SUM(D86:O86)</f>
        <v>75869</v>
      </c>
      <c r="Q86" s="27">
        <f>'Shipment (Production)'!BP24</f>
        <v>7024</v>
      </c>
      <c r="R86" s="27">
        <f>'Shipment (Production)'!BU24</f>
        <v>8001</v>
      </c>
      <c r="S86" s="27">
        <f>'Shipment (Production)'!BZ24</f>
        <v>8000</v>
      </c>
      <c r="T86" s="27">
        <f>'Shipment (Production)'!CE24</f>
        <v>8000</v>
      </c>
      <c r="U86" s="27">
        <f>'Shipment (Production)'!CJ24</f>
        <v>8000</v>
      </c>
      <c r="V86" s="27">
        <f>'Shipment (Production)'!CO24</f>
        <v>8000</v>
      </c>
      <c r="W86" s="27">
        <f>'Shipment (Production)'!CT24</f>
        <v>8000</v>
      </c>
      <c r="X86" s="27">
        <f>'Shipment (Production)'!CY24</f>
        <v>8000</v>
      </c>
      <c r="Y86" s="27">
        <f>'Shipment (Production)'!DD24</f>
        <v>9000</v>
      </c>
      <c r="Z86" s="27">
        <f>'Shipment (Production)'!DI24</f>
        <v>8000</v>
      </c>
      <c r="AA86" s="27">
        <f>'Shipment (Production)'!DN24</f>
        <v>8000</v>
      </c>
      <c r="AB86" s="27">
        <f>'Shipment (Production)'!DS24</f>
        <v>6000</v>
      </c>
      <c r="AC86" s="26">
        <f>SUM(Q86:AB86)</f>
        <v>94025</v>
      </c>
      <c r="AD86" s="27">
        <f>'Shipment (Production)'!DY24</f>
        <v>7500</v>
      </c>
      <c r="AE86" s="27">
        <f>'Shipment (Production)'!ED24</f>
        <v>8000</v>
      </c>
      <c r="AF86" s="27">
        <f>'Shipment (Production)'!EI24</f>
        <v>7140</v>
      </c>
      <c r="AG86" s="27">
        <f>'Shipment (Production)'!EN24</f>
        <v>7140</v>
      </c>
      <c r="AH86" s="27">
        <f>'Shipment (Production)'!ES24</f>
        <v>7140</v>
      </c>
      <c r="AI86" s="27">
        <f>'Shipment (Production)'!EX24</f>
        <v>7140</v>
      </c>
      <c r="AJ86" s="27">
        <f>'Shipment (Production)'!FC24</f>
        <v>7140</v>
      </c>
      <c r="AK86" s="27">
        <f>'Shipment (Production)'!FH24</f>
        <v>7140</v>
      </c>
      <c r="AL86" s="27">
        <f>'Shipment (Production)'!FM24</f>
        <v>7140</v>
      </c>
      <c r="AM86" s="27">
        <f>'Shipment (Production)'!FR24</f>
        <v>5610</v>
      </c>
      <c r="AN86" s="27">
        <f>'Shipment (Production)'!FW24</f>
        <v>5610</v>
      </c>
      <c r="AO86" s="27">
        <f>'Shipment (Production)'!GB24</f>
        <v>5100</v>
      </c>
      <c r="AP86" s="26">
        <f>SUM(AD86:AO86)</f>
        <v>81800</v>
      </c>
    </row>
    <row r="87" spans="2:42" x14ac:dyDescent="0.35">
      <c r="B87" s="163"/>
      <c r="C87" s="4" t="s">
        <v>57</v>
      </c>
      <c r="D87" s="71">
        <f>'Arrival to Regie'!G24</f>
        <v>10003</v>
      </c>
      <c r="E87" s="71">
        <f>'Arrival to Regie'!L24</f>
        <v>4200</v>
      </c>
      <c r="F87" s="71">
        <f>'Arrival to Regie'!Q24</f>
        <v>6348</v>
      </c>
      <c r="G87" s="71">
        <f>'Arrival to Regie'!V24</f>
        <v>6070</v>
      </c>
      <c r="H87" s="71">
        <f>'Arrival to Regie'!AA24</f>
        <v>0</v>
      </c>
      <c r="I87" s="71">
        <f>'Arrival to Regie'!AF24</f>
        <v>5001</v>
      </c>
      <c r="J87" s="71">
        <f>'Arrival to Regie'!AK24</f>
        <v>6704</v>
      </c>
      <c r="K87" s="71">
        <f>'Arrival to Regie'!AP24</f>
        <v>7002</v>
      </c>
      <c r="L87" s="27">
        <f>'Arrival to Regie'!AU24</f>
        <v>8000</v>
      </c>
      <c r="M87" s="27">
        <f>'Arrival to Regie'!AZ24</f>
        <v>6000</v>
      </c>
      <c r="N87" s="27">
        <f>'Arrival to Regie'!BE24</f>
        <v>12957</v>
      </c>
      <c r="O87" s="27">
        <f>'Arrival to Regie'!BJ24</f>
        <v>3584</v>
      </c>
      <c r="P87" s="26">
        <f>SUM(D87:O87)</f>
        <v>75869</v>
      </c>
      <c r="Q87" s="82">
        <f>'Arrival to Regie'!BP24</f>
        <v>7024</v>
      </c>
      <c r="R87" s="27">
        <f>'Arrival to Regie'!BU24</f>
        <v>8001</v>
      </c>
      <c r="S87" s="27">
        <f>'Arrival to Regie'!BZ24</f>
        <v>8000</v>
      </c>
      <c r="T87" s="27">
        <f>'Arrival to Regie'!CE24</f>
        <v>8000</v>
      </c>
      <c r="U87" s="27">
        <f>'Arrival to Regie'!CJ24</f>
        <v>8000</v>
      </c>
      <c r="V87" s="27">
        <f>'Arrival to Regie'!CO24</f>
        <v>8000</v>
      </c>
      <c r="W87" s="27">
        <f>'Arrival to Regie'!CT24</f>
        <v>8000</v>
      </c>
      <c r="X87" s="27">
        <f>'Arrival to Regie'!CY24</f>
        <v>8000</v>
      </c>
      <c r="Y87" s="27">
        <f>'Arrival to Regie'!DD24</f>
        <v>9000</v>
      </c>
      <c r="Z87" s="27">
        <f>'Arrival to Regie'!DI24</f>
        <v>8000</v>
      </c>
      <c r="AA87" s="27">
        <f>'Arrival to Regie'!DN24</f>
        <v>8000</v>
      </c>
      <c r="AB87" s="27">
        <f>'Arrival to Regie'!DS24</f>
        <v>6000</v>
      </c>
      <c r="AC87" s="26">
        <f>SUM(Q87:AB87)</f>
        <v>94025</v>
      </c>
      <c r="AD87" s="82">
        <f>'Arrival to Regie'!DY24</f>
        <v>7500</v>
      </c>
      <c r="AE87" s="27">
        <f>'Arrival to Regie'!ED24</f>
        <v>8000</v>
      </c>
      <c r="AF87" s="27">
        <f>'Arrival to Regie'!EI24</f>
        <v>7140</v>
      </c>
      <c r="AG87" s="27">
        <f>'Arrival to Regie'!EN24</f>
        <v>7140</v>
      </c>
      <c r="AH87" s="27">
        <f>'Arrival to Regie'!ES24</f>
        <v>7140</v>
      </c>
      <c r="AI87" s="27">
        <f>'Arrival to Regie'!EX24</f>
        <v>7140</v>
      </c>
      <c r="AJ87" s="27">
        <f>'Arrival to Regie'!FC24</f>
        <v>7140</v>
      </c>
      <c r="AK87" s="27">
        <f>'Arrival to Regie'!FH24</f>
        <v>7140</v>
      </c>
      <c r="AL87" s="27">
        <f>'Arrival to Regie'!FM24</f>
        <v>7140</v>
      </c>
      <c r="AM87" s="27">
        <f>'Arrival to Regie'!FR24</f>
        <v>5610</v>
      </c>
      <c r="AN87" s="27">
        <f>'Arrival to Regie'!FW24</f>
        <v>5610</v>
      </c>
      <c r="AO87" s="27">
        <f>'Arrival to Regie'!GB24</f>
        <v>5100</v>
      </c>
      <c r="AP87" s="26">
        <f>SUM(AD87:AO87)</f>
        <v>81800</v>
      </c>
    </row>
    <row r="88" spans="2:42" x14ac:dyDescent="0.35">
      <c r="B88" s="163"/>
      <c r="C88" s="47" t="s">
        <v>58</v>
      </c>
      <c r="D88" s="72">
        <f>D83+D84+D87-D85</f>
        <v>1213</v>
      </c>
      <c r="E88" s="72">
        <f t="shared" ref="E88:AB88" si="394">E83+E84+E87-E85</f>
        <v>4304</v>
      </c>
      <c r="F88" s="72">
        <f t="shared" si="394"/>
        <v>2129</v>
      </c>
      <c r="G88" s="72">
        <f t="shared" si="394"/>
        <v>12</v>
      </c>
      <c r="H88" s="72">
        <f t="shared" si="394"/>
        <v>8</v>
      </c>
      <c r="I88" s="72">
        <f t="shared" si="394"/>
        <v>8</v>
      </c>
      <c r="J88" s="72">
        <f t="shared" si="394"/>
        <v>58</v>
      </c>
      <c r="K88" s="72">
        <f t="shared" si="394"/>
        <v>3114</v>
      </c>
      <c r="L88" s="48">
        <f t="shared" si="394"/>
        <v>1379</v>
      </c>
      <c r="M88" s="48">
        <f t="shared" si="394"/>
        <v>3534</v>
      </c>
      <c r="N88" s="48">
        <f t="shared" si="394"/>
        <v>5931</v>
      </c>
      <c r="O88" s="48">
        <f t="shared" si="394"/>
        <v>3065</v>
      </c>
      <c r="P88" s="26"/>
      <c r="Q88" s="48">
        <f t="shared" si="394"/>
        <v>1782</v>
      </c>
      <c r="R88" s="48">
        <f t="shared" si="394"/>
        <v>5497</v>
      </c>
      <c r="S88" s="48">
        <f t="shared" si="394"/>
        <v>6856</v>
      </c>
      <c r="T88" s="48">
        <f t="shared" si="394"/>
        <v>7356</v>
      </c>
      <c r="U88" s="48">
        <f t="shared" si="394"/>
        <v>8856</v>
      </c>
      <c r="V88" s="48">
        <f t="shared" si="394"/>
        <v>10356</v>
      </c>
      <c r="W88" s="48">
        <f t="shared" si="394"/>
        <v>11356</v>
      </c>
      <c r="X88" s="48">
        <f t="shared" si="394"/>
        <v>12356</v>
      </c>
      <c r="Y88" s="48">
        <f t="shared" si="394"/>
        <v>14856</v>
      </c>
      <c r="Z88" s="48">
        <f t="shared" si="394"/>
        <v>16356</v>
      </c>
      <c r="AA88" s="48">
        <f t="shared" si="394"/>
        <v>18356</v>
      </c>
      <c r="AB88" s="48">
        <f t="shared" si="394"/>
        <v>19856</v>
      </c>
      <c r="AC88" s="26"/>
      <c r="AD88" s="48">
        <f t="shared" ref="AD88:AO88" si="395">AD83+AD84+AD87-AD85</f>
        <v>19856</v>
      </c>
      <c r="AE88" s="48">
        <f t="shared" si="395"/>
        <v>19856</v>
      </c>
      <c r="AF88" s="48">
        <f t="shared" si="395"/>
        <v>17816</v>
      </c>
      <c r="AG88" s="48">
        <f t="shared" si="395"/>
        <v>17306</v>
      </c>
      <c r="AH88" s="48">
        <f t="shared" si="395"/>
        <v>17816</v>
      </c>
      <c r="AI88" s="48">
        <f t="shared" si="395"/>
        <v>18326</v>
      </c>
      <c r="AJ88" s="48">
        <f t="shared" si="395"/>
        <v>18326</v>
      </c>
      <c r="AK88" s="48">
        <f t="shared" si="395"/>
        <v>18326</v>
      </c>
      <c r="AL88" s="48">
        <f t="shared" si="395"/>
        <v>18836</v>
      </c>
      <c r="AM88" s="48">
        <f t="shared" si="395"/>
        <v>17816</v>
      </c>
      <c r="AN88" s="48">
        <f t="shared" si="395"/>
        <v>17306</v>
      </c>
      <c r="AO88" s="48">
        <f t="shared" si="395"/>
        <v>17816</v>
      </c>
      <c r="AP88" s="26"/>
    </row>
    <row r="89" spans="2:42" ht="15" thickBot="1" x14ac:dyDescent="0.4">
      <c r="B89" s="164"/>
      <c r="C89" s="34" t="s">
        <v>59</v>
      </c>
      <c r="D89" s="35">
        <f>IF(D88=0,0,IFERROR((((D88)/(AVERAGE(E85:F85)))*4.3),"∞"))</f>
        <v>1.0830357142857143</v>
      </c>
      <c r="E89" s="35">
        <f t="shared" ref="E89" si="396">IF(E88=0,0,IFERROR((((E88)/(AVERAGE(F85:G85)))*4.3),"∞"))</f>
        <v>2.2151047277079594</v>
      </c>
      <c r="F89" s="35">
        <f t="shared" ref="F89" si="397">IF(F88=0,0,IFERROR((((F88)/(AVERAGE(G85:H85)))*4.3),"∞"))</f>
        <v>2.2353070443169329</v>
      </c>
      <c r="G89" s="35">
        <f t="shared" ref="G89" si="398">IF(G88=0,0,IFERROR((((G88)/(AVERAGE(H85:I85)))*4.3),"∞"))</f>
        <v>2.0619380619380619E-2</v>
      </c>
      <c r="H89" s="35">
        <f t="shared" ref="H89" si="399">IF(H88=0,0,IFERROR((((H88)/(AVERAGE(I85:J85)))*4.3),"∞"))</f>
        <v>5.9030459030459028E-3</v>
      </c>
      <c r="I89" s="35">
        <f t="shared" ref="I89" si="400">IF(I88=0,0,IFERROR((((I88)/(AVERAGE(J85:K85)))*4.3),"∞"))</f>
        <v>6.4905660377358489E-3</v>
      </c>
      <c r="J89" s="35">
        <f t="shared" ref="J89" si="401">IF(J88=0,0,IFERROR((((J88)/(AVERAGE(K85:L85)))*4.3),"∞"))</f>
        <v>3.6459323148892622E-2</v>
      </c>
      <c r="K89" s="35">
        <f t="shared" ref="K89" si="402">IF(K88=0,0,IFERROR((((K88)/(AVERAGE(L85:M85)))*4.3),"∞"))</f>
        <v>1.9720471281296021</v>
      </c>
      <c r="L89" s="35">
        <f t="shared" ref="L89" si="403">IF(L88=0,0,IFERROR((((L88)/(AVERAGE(M85:N85)))*4.3),"∞"))</f>
        <v>0.82328358208955221</v>
      </c>
      <c r="M89" s="35">
        <f t="shared" ref="M89" si="404">IF(M88=0,0,IFERROR((((M88)/(AVERAGE(N85:O85)))*4.3),"∞"))</f>
        <v>1.7867372134038801</v>
      </c>
      <c r="N89" s="35">
        <f>IF(N88=0,0,IFERROR((((N88)/(AVERAGE(O85,Q85)))*4.3),"∞"))</f>
        <v>3.4564342346005286</v>
      </c>
      <c r="O89" s="35">
        <f>IF(O88=0,0,IFERROR((((O88)/(AVERAGE(Q85:R85)))*4.3),"∞"))</f>
        <v>2.0931469864210275</v>
      </c>
      <c r="P89" s="36"/>
      <c r="Q89" s="35">
        <f>IF(Q88=0,0,IFERROR((((Q88)/(AVERAGE(R85:S85)))*4.3),"∞"))</f>
        <v>1.4025075501052437</v>
      </c>
      <c r="R89" s="35">
        <f t="shared" ref="R89" si="405">IF(R88=0,0,IFERROR((((R88)/(AVERAGE(S85:T85)))*4.3),"∞"))</f>
        <v>3.3430591895905524</v>
      </c>
      <c r="S89" s="35">
        <f t="shared" ref="S89" si="406">IF(S88=0,0,IFERROR((((S88)/(AVERAGE(T85:U85)))*4.3),"∞"))</f>
        <v>4.2115428571428568</v>
      </c>
      <c r="T89" s="35">
        <f t="shared" ref="T89" si="407">IF(T88=0,0,IFERROR((((T88)/(AVERAGE(U85:V85)))*4.3),"∞"))</f>
        <v>4.8662769230769234</v>
      </c>
      <c r="U89" s="35">
        <f t="shared" ref="U89" si="408">IF(U88=0,0,IFERROR((((U88)/(AVERAGE(V85:W85)))*4.3),"∞"))</f>
        <v>5.6416000000000004</v>
      </c>
      <c r="V89" s="35">
        <f t="shared" ref="V89" si="409">IF(V88=0,0,IFERROR((((V88)/(AVERAGE(W85:X85)))*4.3),"∞"))</f>
        <v>6.3615428571428572</v>
      </c>
      <c r="W89" s="35">
        <f t="shared" ref="W89" si="410">IF(W88=0,0,IFERROR((((W88)/(AVERAGE(X85:Y85)))*4.3),"∞"))</f>
        <v>7.2341925925925921</v>
      </c>
      <c r="X89" s="35">
        <f t="shared" ref="X89" si="411">IF(X88=0,0,IFERROR((((X88)/(AVERAGE(Y85:Z85)))*4.3),"∞"))</f>
        <v>8.1739692307692309</v>
      </c>
      <c r="Y89" s="35">
        <f t="shared" ref="Y89" si="412">IF(Y88=0,0,IFERROR((((Y88)/(AVERAGE(Z85:AA85)))*4.3),"∞"))</f>
        <v>10.220927999999999</v>
      </c>
      <c r="Z89" s="35">
        <f t="shared" ref="Z89" si="413">IF(Z88=0,0,IFERROR((((Z88)/(AVERAGE(AA85:AB85)))*4.3),"∞"))</f>
        <v>13.396342857142855</v>
      </c>
      <c r="AA89" s="35">
        <f>IF(AA88=0,0,IFERROR((((AA88)/(AVERAGE(AB85,AD85)))*4.3),"∞"))</f>
        <v>13.155133333333334</v>
      </c>
      <c r="AB89" s="35">
        <f>IF(AB88=0,0,IFERROR((((AB88)/(AVERAGE(AD85:AE85)))*4.3),"∞"))</f>
        <v>11.016877419354838</v>
      </c>
      <c r="AC89" s="36"/>
      <c r="AD89" s="35">
        <f>IF(AD88=0,0,IFERROR((((AD88)/(AVERAGE(AE85:AF85)))*4.3),"∞"))</f>
        <v>9.9395576251455182</v>
      </c>
      <c r="AE89" s="35">
        <f t="shared" ref="AE89" si="414">IF(AE88=0,0,IFERROR((((AE88)/(AVERAGE(AF85:AG85)))*4.3),"∞"))</f>
        <v>10.146262626262626</v>
      </c>
      <c r="AF89" s="35">
        <f t="shared" ref="AF89" si="415">IF(AF88=0,0,IFERROR((((AF88)/(AVERAGE(AG85:AH85)))*4.3),"∞"))</f>
        <v>10.729523809523808</v>
      </c>
      <c r="AG89" s="35">
        <f t="shared" ref="AG89" si="416">IF(AG88=0,0,IFERROR((((AG88)/(AVERAGE(AH85:AI85)))*4.3),"∞"))</f>
        <v>11.224102564102564</v>
      </c>
      <c r="AH89" s="35">
        <f t="shared" ref="AH89" si="417">IF(AH88=0,0,IFERROR((((AH88)/(AVERAGE(AI85:AJ85)))*4.3),"∞"))</f>
        <v>11.126913580246914</v>
      </c>
      <c r="AI89" s="35">
        <f t="shared" ref="AI89" si="418">IF(AI88=0,0,IFERROR((((AI88)/(AVERAGE(AJ85:AK85)))*4.3),"∞"))</f>
        <v>11.036666666666667</v>
      </c>
      <c r="AJ89" s="35">
        <f t="shared" ref="AJ89" si="419">IF(AJ88=0,0,IFERROR((((AJ88)/(AVERAGE(AK85:AL85)))*4.3),"∞"))</f>
        <v>11.445432098765432</v>
      </c>
      <c r="AK89" s="35">
        <f t="shared" ref="AK89" si="420">IF(AK88=0,0,IFERROR((((AK88)/(AVERAGE(AL85:AM85)))*4.3),"∞"))</f>
        <v>11.885641025641025</v>
      </c>
      <c r="AL89" s="35">
        <f t="shared" ref="AL89" si="421">IF(AL88=0,0,IFERROR((((AL88)/(AVERAGE(AM85:AN85)))*4.3),"∞"))</f>
        <v>12.705066666666667</v>
      </c>
      <c r="AM89" s="35">
        <f t="shared" ref="AM89" si="422">IF(AM88=0,0,IFERROR((((AM88)/(AVERAGE(AN85:AO85)))*4.3),"∞"))</f>
        <v>14.306031746031746</v>
      </c>
      <c r="AN89" s="35">
        <f>IF(AN88=0,0,IFERROR((((AN88)/(AVERAGE(AO85,AQ85)))*4.3),"∞"))</f>
        <v>16.212592592592593</v>
      </c>
      <c r="AO89" s="35" t="str">
        <f>IF(AO88=0,0,IFERROR((((AO88)/(AVERAGE(AQ85:AR85)))*4.3),"∞"))</f>
        <v>∞</v>
      </c>
      <c r="AP89" s="36"/>
    </row>
    <row r="90" spans="2:42" s="23" customFormat="1" x14ac:dyDescent="0.35">
      <c r="B90" s="22"/>
      <c r="D90" s="74"/>
      <c r="E90" s="74"/>
      <c r="F90" s="74"/>
      <c r="G90" s="74"/>
      <c r="H90" s="74"/>
      <c r="I90" s="74"/>
      <c r="J90" s="74"/>
      <c r="K90" s="74"/>
      <c r="L90" s="24"/>
      <c r="M90" s="24"/>
      <c r="N90" s="24"/>
      <c r="O90" s="24"/>
      <c r="P90" s="25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5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5"/>
    </row>
  </sheetData>
  <mergeCells count="11">
    <mergeCell ref="B83:B89"/>
    <mergeCell ref="B3:B9"/>
    <mergeCell ref="B11:B17"/>
    <mergeCell ref="B19:B25"/>
    <mergeCell ref="B27:B33"/>
    <mergeCell ref="B35:B41"/>
    <mergeCell ref="B43:B49"/>
    <mergeCell ref="B51:B57"/>
    <mergeCell ref="B59:B65"/>
    <mergeCell ref="B67:B73"/>
    <mergeCell ref="B75:B81"/>
  </mergeCells>
  <conditionalFormatting sqref="D9:O9">
    <cfRule type="cellIs" dxfId="314" priority="605" operator="lessThan">
      <formula>4</formula>
    </cfRule>
    <cfRule type="cellIs" dxfId="313" priority="604" operator="between">
      <formula>4</formula>
      <formula>6</formula>
    </cfRule>
    <cfRule type="cellIs" dxfId="312" priority="408" operator="lessThan">
      <formula>0</formula>
    </cfRule>
    <cfRule type="cellIs" dxfId="311" priority="211" operator="equal">
      <formula>0</formula>
    </cfRule>
    <cfRule type="cellIs" dxfId="310" priority="606" operator="greaterThan">
      <formula>6</formula>
    </cfRule>
  </conditionalFormatting>
  <conditionalFormatting sqref="D17:O17">
    <cfRule type="cellIs" dxfId="309" priority="205" operator="greaterThan">
      <formula>6</formula>
    </cfRule>
    <cfRule type="cellIs" dxfId="308" priority="204" operator="lessThan">
      <formula>4</formula>
    </cfRule>
    <cfRule type="cellIs" dxfId="307" priority="203" operator="between">
      <formula>4</formula>
      <formula>6</formula>
    </cfRule>
    <cfRule type="cellIs" dxfId="306" priority="202" operator="lessThan">
      <formula>0</formula>
    </cfRule>
    <cfRule type="cellIs" dxfId="305" priority="201" operator="equal">
      <formula>0</formula>
    </cfRule>
  </conditionalFormatting>
  <conditionalFormatting sqref="D25:O25">
    <cfRule type="cellIs" dxfId="304" priority="200" operator="greaterThan">
      <formula>6</formula>
    </cfRule>
    <cfRule type="cellIs" dxfId="303" priority="199" operator="lessThan">
      <formula>4</formula>
    </cfRule>
    <cfRule type="cellIs" dxfId="302" priority="198" operator="between">
      <formula>4</formula>
      <formula>6</formula>
    </cfRule>
    <cfRule type="cellIs" dxfId="301" priority="197" operator="lessThan">
      <formula>0</formula>
    </cfRule>
    <cfRule type="cellIs" dxfId="300" priority="196" operator="equal">
      <formula>0</formula>
    </cfRule>
  </conditionalFormatting>
  <conditionalFormatting sqref="D33:O33">
    <cfRule type="cellIs" dxfId="299" priority="195" operator="greaterThan">
      <formula>6</formula>
    </cfRule>
    <cfRule type="cellIs" dxfId="298" priority="194" operator="lessThan">
      <formula>4</formula>
    </cfRule>
    <cfRule type="cellIs" dxfId="297" priority="193" operator="between">
      <formula>4</formula>
      <formula>6</formula>
    </cfRule>
    <cfRule type="cellIs" dxfId="296" priority="192" operator="lessThan">
      <formula>0</formula>
    </cfRule>
    <cfRule type="cellIs" dxfId="295" priority="191" operator="equal">
      <formula>0</formula>
    </cfRule>
  </conditionalFormatting>
  <conditionalFormatting sqref="D41:O41">
    <cfRule type="cellIs" dxfId="294" priority="190" operator="greaterThan">
      <formula>6</formula>
    </cfRule>
    <cfRule type="cellIs" dxfId="293" priority="189" operator="lessThan">
      <formula>4</formula>
    </cfRule>
    <cfRule type="cellIs" dxfId="292" priority="188" operator="between">
      <formula>4</formula>
      <formula>6</formula>
    </cfRule>
    <cfRule type="cellIs" dxfId="291" priority="187" operator="lessThan">
      <formula>0</formula>
    </cfRule>
    <cfRule type="cellIs" dxfId="290" priority="186" operator="equal">
      <formula>0</formula>
    </cfRule>
  </conditionalFormatting>
  <conditionalFormatting sqref="D49:O49">
    <cfRule type="cellIs" dxfId="289" priority="185" operator="greaterThan">
      <formula>6</formula>
    </cfRule>
    <cfRule type="cellIs" dxfId="288" priority="184" operator="lessThan">
      <formula>4</formula>
    </cfRule>
    <cfRule type="cellIs" dxfId="287" priority="183" operator="between">
      <formula>4</formula>
      <formula>6</formula>
    </cfRule>
    <cfRule type="cellIs" dxfId="286" priority="182" operator="lessThan">
      <formula>0</formula>
    </cfRule>
    <cfRule type="cellIs" dxfId="285" priority="181" operator="equal">
      <formula>0</formula>
    </cfRule>
  </conditionalFormatting>
  <conditionalFormatting sqref="D57:O57">
    <cfRule type="cellIs" dxfId="284" priority="180" operator="greaterThan">
      <formula>6</formula>
    </cfRule>
    <cfRule type="cellIs" dxfId="283" priority="179" operator="lessThan">
      <formula>4</formula>
    </cfRule>
    <cfRule type="cellIs" dxfId="282" priority="178" operator="between">
      <formula>4</formula>
      <formula>6</formula>
    </cfRule>
    <cfRule type="cellIs" dxfId="281" priority="177" operator="lessThan">
      <formula>0</formula>
    </cfRule>
    <cfRule type="cellIs" dxfId="280" priority="176" operator="equal">
      <formula>0</formula>
    </cfRule>
  </conditionalFormatting>
  <conditionalFormatting sqref="D65:O65">
    <cfRule type="cellIs" dxfId="279" priority="171" operator="equal">
      <formula>0</formula>
    </cfRule>
    <cfRule type="cellIs" dxfId="278" priority="175" operator="greaterThan">
      <formula>6</formula>
    </cfRule>
    <cfRule type="cellIs" dxfId="277" priority="174" operator="lessThan">
      <formula>4</formula>
    </cfRule>
    <cfRule type="cellIs" dxfId="276" priority="173" operator="between">
      <formula>4</formula>
      <formula>6</formula>
    </cfRule>
    <cfRule type="cellIs" dxfId="275" priority="172" operator="lessThan">
      <formula>0</formula>
    </cfRule>
  </conditionalFormatting>
  <conditionalFormatting sqref="D73:O73">
    <cfRule type="cellIs" dxfId="274" priority="170" operator="greaterThan">
      <formula>6</formula>
    </cfRule>
    <cfRule type="cellIs" dxfId="273" priority="169" operator="lessThan">
      <formula>4</formula>
    </cfRule>
    <cfRule type="cellIs" dxfId="272" priority="168" operator="between">
      <formula>4</formula>
      <formula>6</formula>
    </cfRule>
    <cfRule type="cellIs" dxfId="271" priority="167" operator="lessThan">
      <formula>0</formula>
    </cfRule>
    <cfRule type="cellIs" dxfId="270" priority="166" operator="equal">
      <formula>0</formula>
    </cfRule>
  </conditionalFormatting>
  <conditionalFormatting sqref="D81:O81">
    <cfRule type="cellIs" dxfId="269" priority="165" operator="greaterThan">
      <formula>6</formula>
    </cfRule>
    <cfRule type="cellIs" dxfId="268" priority="164" operator="lessThan">
      <formula>4</formula>
    </cfRule>
    <cfRule type="cellIs" dxfId="267" priority="163" operator="between">
      <formula>4</formula>
      <formula>6</formula>
    </cfRule>
    <cfRule type="cellIs" dxfId="266" priority="162" operator="lessThan">
      <formula>0</formula>
    </cfRule>
    <cfRule type="cellIs" dxfId="265" priority="161" operator="equal">
      <formula>0</formula>
    </cfRule>
  </conditionalFormatting>
  <conditionalFormatting sqref="D89:O89">
    <cfRule type="cellIs" dxfId="264" priority="160" operator="greaterThan">
      <formula>6</formula>
    </cfRule>
    <cfRule type="cellIs" dxfId="263" priority="159" operator="lessThan">
      <formula>4</formula>
    </cfRule>
    <cfRule type="cellIs" dxfId="262" priority="158" operator="between">
      <formula>4</formula>
      <formula>6</formula>
    </cfRule>
    <cfRule type="cellIs" dxfId="261" priority="157" operator="lessThan">
      <formula>0</formula>
    </cfRule>
    <cfRule type="cellIs" dxfId="260" priority="156" operator="equal">
      <formula>0</formula>
    </cfRule>
  </conditionalFormatting>
  <conditionalFormatting sqref="Q9:AB9">
    <cfRule type="cellIs" dxfId="259" priority="155" operator="greaterThan">
      <formula>6</formula>
    </cfRule>
    <cfRule type="cellIs" dxfId="258" priority="154" operator="lessThan">
      <formula>4</formula>
    </cfRule>
    <cfRule type="cellIs" dxfId="257" priority="153" operator="between">
      <formula>4</formula>
      <formula>6</formula>
    </cfRule>
    <cfRule type="cellIs" dxfId="256" priority="152" operator="lessThan">
      <formula>0</formula>
    </cfRule>
    <cfRule type="cellIs" dxfId="255" priority="151" operator="equal">
      <formula>0</formula>
    </cfRule>
  </conditionalFormatting>
  <conditionalFormatting sqref="Q17:AB17">
    <cfRule type="cellIs" dxfId="254" priority="150" operator="greaterThan">
      <formula>6</formula>
    </cfRule>
    <cfRule type="cellIs" dxfId="253" priority="149" operator="lessThan">
      <formula>4</formula>
    </cfRule>
    <cfRule type="cellIs" dxfId="252" priority="148" operator="between">
      <formula>4</formula>
      <formula>6</formula>
    </cfRule>
    <cfRule type="cellIs" dxfId="251" priority="147" operator="lessThan">
      <formula>0</formula>
    </cfRule>
    <cfRule type="cellIs" dxfId="250" priority="146" operator="equal">
      <formula>0</formula>
    </cfRule>
  </conditionalFormatting>
  <conditionalFormatting sqref="Q25:AB25">
    <cfRule type="cellIs" dxfId="249" priority="145" operator="greaterThan">
      <formula>6</formula>
    </cfRule>
    <cfRule type="cellIs" dxfId="248" priority="144" operator="lessThan">
      <formula>4</formula>
    </cfRule>
    <cfRule type="cellIs" dxfId="247" priority="143" operator="between">
      <formula>4</formula>
      <formula>6</formula>
    </cfRule>
    <cfRule type="cellIs" dxfId="246" priority="142" operator="lessThan">
      <formula>0</formula>
    </cfRule>
    <cfRule type="cellIs" dxfId="245" priority="141" operator="equal">
      <formula>0</formula>
    </cfRule>
  </conditionalFormatting>
  <conditionalFormatting sqref="Q33:AB33">
    <cfRule type="cellIs" dxfId="244" priority="140" operator="greaterThan">
      <formula>6</formula>
    </cfRule>
    <cfRule type="cellIs" dxfId="243" priority="139" operator="lessThan">
      <formula>4</formula>
    </cfRule>
    <cfRule type="cellIs" dxfId="242" priority="138" operator="between">
      <formula>4</formula>
      <formula>6</formula>
    </cfRule>
    <cfRule type="cellIs" dxfId="241" priority="137" operator="lessThan">
      <formula>0</formula>
    </cfRule>
    <cfRule type="cellIs" dxfId="240" priority="136" operator="equal">
      <formula>0</formula>
    </cfRule>
  </conditionalFormatting>
  <conditionalFormatting sqref="Q41:AB41">
    <cfRule type="cellIs" dxfId="239" priority="135" operator="greaterThan">
      <formula>6</formula>
    </cfRule>
    <cfRule type="cellIs" dxfId="238" priority="134" operator="lessThan">
      <formula>4</formula>
    </cfRule>
    <cfRule type="cellIs" dxfId="237" priority="133" operator="between">
      <formula>4</formula>
      <formula>6</formula>
    </cfRule>
    <cfRule type="cellIs" dxfId="236" priority="132" operator="lessThan">
      <formula>0</formula>
    </cfRule>
    <cfRule type="cellIs" dxfId="235" priority="131" operator="equal">
      <formula>0</formula>
    </cfRule>
  </conditionalFormatting>
  <conditionalFormatting sqref="Q49:AB49">
    <cfRule type="cellIs" dxfId="234" priority="126" operator="equal">
      <formula>0</formula>
    </cfRule>
    <cfRule type="cellIs" dxfId="233" priority="127" operator="lessThan">
      <formula>0</formula>
    </cfRule>
    <cfRule type="cellIs" dxfId="232" priority="128" operator="between">
      <formula>4</formula>
      <formula>6</formula>
    </cfRule>
    <cfRule type="cellIs" dxfId="231" priority="129" operator="lessThan">
      <formula>4</formula>
    </cfRule>
    <cfRule type="cellIs" dxfId="230" priority="130" operator="greaterThan">
      <formula>6</formula>
    </cfRule>
  </conditionalFormatting>
  <conditionalFormatting sqref="Q57:AB57">
    <cfRule type="cellIs" dxfId="229" priority="125" operator="greaterThan">
      <formula>6</formula>
    </cfRule>
    <cfRule type="cellIs" dxfId="228" priority="124" operator="lessThan">
      <formula>4</formula>
    </cfRule>
    <cfRule type="cellIs" dxfId="227" priority="123" operator="between">
      <formula>4</formula>
      <formula>6</formula>
    </cfRule>
    <cfRule type="cellIs" dxfId="226" priority="122" operator="lessThan">
      <formula>0</formula>
    </cfRule>
    <cfRule type="cellIs" dxfId="225" priority="121" operator="equal">
      <formula>0</formula>
    </cfRule>
  </conditionalFormatting>
  <conditionalFormatting sqref="Q65:AB65">
    <cfRule type="cellIs" dxfId="224" priority="120" operator="greaterThan">
      <formula>6</formula>
    </cfRule>
    <cfRule type="cellIs" dxfId="223" priority="119" operator="lessThan">
      <formula>4</formula>
    </cfRule>
    <cfRule type="cellIs" dxfId="222" priority="118" operator="between">
      <formula>4</formula>
      <formula>6</formula>
    </cfRule>
    <cfRule type="cellIs" dxfId="221" priority="117" operator="lessThan">
      <formula>0</formula>
    </cfRule>
    <cfRule type="cellIs" dxfId="220" priority="116" operator="equal">
      <formula>0</formula>
    </cfRule>
  </conditionalFormatting>
  <conditionalFormatting sqref="Q73:AB73">
    <cfRule type="cellIs" dxfId="219" priority="115" operator="greaterThan">
      <formula>6</formula>
    </cfRule>
    <cfRule type="cellIs" dxfId="218" priority="114" operator="lessThan">
      <formula>4</formula>
    </cfRule>
    <cfRule type="cellIs" dxfId="217" priority="113" operator="between">
      <formula>4</formula>
      <formula>6</formula>
    </cfRule>
    <cfRule type="cellIs" dxfId="216" priority="112" operator="lessThan">
      <formula>0</formula>
    </cfRule>
    <cfRule type="cellIs" dxfId="215" priority="111" operator="equal">
      <formula>0</formula>
    </cfRule>
  </conditionalFormatting>
  <conditionalFormatting sqref="Q81:AB81">
    <cfRule type="cellIs" dxfId="214" priority="110" operator="greaterThan">
      <formula>6</formula>
    </cfRule>
    <cfRule type="cellIs" dxfId="213" priority="109" operator="lessThan">
      <formula>4</formula>
    </cfRule>
    <cfRule type="cellIs" dxfId="212" priority="108" operator="between">
      <formula>4</formula>
      <formula>6</formula>
    </cfRule>
    <cfRule type="cellIs" dxfId="211" priority="107" operator="lessThan">
      <formula>0</formula>
    </cfRule>
    <cfRule type="cellIs" dxfId="210" priority="106" operator="equal">
      <formula>0</formula>
    </cfRule>
  </conditionalFormatting>
  <conditionalFormatting sqref="Q89:AB89">
    <cfRule type="cellIs" dxfId="209" priority="105" operator="greaterThan">
      <formula>6</formula>
    </cfRule>
    <cfRule type="cellIs" dxfId="208" priority="104" operator="lessThan">
      <formula>4</formula>
    </cfRule>
    <cfRule type="cellIs" dxfId="207" priority="103" operator="between">
      <formula>4</formula>
      <formula>6</formula>
    </cfRule>
    <cfRule type="cellIs" dxfId="206" priority="102" operator="lessThan">
      <formula>0</formula>
    </cfRule>
    <cfRule type="cellIs" dxfId="205" priority="101" operator="equal">
      <formula>0</formula>
    </cfRule>
  </conditionalFormatting>
  <conditionalFormatting sqref="AD9:AO9">
    <cfRule type="cellIs" dxfId="204" priority="55" operator="greaterThan">
      <formula>6</formula>
    </cfRule>
    <cfRule type="cellIs" dxfId="203" priority="54" operator="lessThan">
      <formula>4</formula>
    </cfRule>
    <cfRule type="cellIs" dxfId="202" priority="53" operator="between">
      <formula>4</formula>
      <formula>6</formula>
    </cfRule>
    <cfRule type="cellIs" dxfId="201" priority="52" operator="lessThan">
      <formula>0</formula>
    </cfRule>
    <cfRule type="cellIs" dxfId="200" priority="51" operator="equal">
      <formula>0</formula>
    </cfRule>
  </conditionalFormatting>
  <conditionalFormatting sqref="AD17:AO17">
    <cfRule type="cellIs" dxfId="199" priority="50" operator="greaterThan">
      <formula>6</formula>
    </cfRule>
    <cfRule type="cellIs" dxfId="198" priority="49" operator="lessThan">
      <formula>4</formula>
    </cfRule>
    <cfRule type="cellIs" dxfId="197" priority="48" operator="between">
      <formula>4</formula>
      <formula>6</formula>
    </cfRule>
    <cfRule type="cellIs" dxfId="196" priority="47" operator="lessThan">
      <formula>0</formula>
    </cfRule>
    <cfRule type="cellIs" dxfId="195" priority="46" operator="equal">
      <formula>0</formula>
    </cfRule>
  </conditionalFormatting>
  <conditionalFormatting sqref="AD25:AO25">
    <cfRule type="cellIs" dxfId="194" priority="45" operator="greaterThan">
      <formula>6</formula>
    </cfRule>
    <cfRule type="cellIs" dxfId="193" priority="44" operator="lessThan">
      <formula>4</formula>
    </cfRule>
    <cfRule type="cellIs" dxfId="192" priority="43" operator="between">
      <formula>4</formula>
      <formula>6</formula>
    </cfRule>
    <cfRule type="cellIs" dxfId="191" priority="42" operator="lessThan">
      <formula>0</formula>
    </cfRule>
    <cfRule type="cellIs" dxfId="190" priority="41" operator="equal">
      <formula>0</formula>
    </cfRule>
  </conditionalFormatting>
  <conditionalFormatting sqref="AD33:AO33">
    <cfRule type="cellIs" dxfId="189" priority="40" operator="greaterThan">
      <formula>6</formula>
    </cfRule>
    <cfRule type="cellIs" dxfId="188" priority="39" operator="lessThan">
      <formula>4</formula>
    </cfRule>
    <cfRule type="cellIs" dxfId="187" priority="38" operator="between">
      <formula>4</formula>
      <formula>6</formula>
    </cfRule>
    <cfRule type="cellIs" dxfId="186" priority="37" operator="lessThan">
      <formula>0</formula>
    </cfRule>
    <cfRule type="cellIs" dxfId="185" priority="36" operator="equal">
      <formula>0</formula>
    </cfRule>
  </conditionalFormatting>
  <conditionalFormatting sqref="AD41:AO41">
    <cfRule type="cellIs" dxfId="184" priority="35" operator="greaterThan">
      <formula>6</formula>
    </cfRule>
    <cfRule type="cellIs" dxfId="183" priority="34" operator="lessThan">
      <formula>4</formula>
    </cfRule>
    <cfRule type="cellIs" dxfId="182" priority="33" operator="between">
      <formula>4</formula>
      <formula>6</formula>
    </cfRule>
    <cfRule type="cellIs" dxfId="181" priority="32" operator="lessThan">
      <formula>0</formula>
    </cfRule>
    <cfRule type="cellIs" dxfId="180" priority="31" operator="equal">
      <formula>0</formula>
    </cfRule>
  </conditionalFormatting>
  <conditionalFormatting sqref="AD49:AO49">
    <cfRule type="cellIs" dxfId="179" priority="30" operator="greaterThan">
      <formula>6</formula>
    </cfRule>
    <cfRule type="cellIs" dxfId="178" priority="29" operator="lessThan">
      <formula>4</formula>
    </cfRule>
    <cfRule type="cellIs" dxfId="177" priority="28" operator="between">
      <formula>4</formula>
      <formula>6</formula>
    </cfRule>
    <cfRule type="cellIs" dxfId="176" priority="27" operator="lessThan">
      <formula>0</formula>
    </cfRule>
    <cfRule type="cellIs" dxfId="175" priority="26" operator="equal">
      <formula>0</formula>
    </cfRule>
  </conditionalFormatting>
  <conditionalFormatting sqref="AD57:AO57">
    <cfRule type="cellIs" dxfId="174" priority="25" operator="greaterThan">
      <formula>6</formula>
    </cfRule>
    <cfRule type="cellIs" dxfId="173" priority="24" operator="lessThan">
      <formula>4</formula>
    </cfRule>
    <cfRule type="cellIs" dxfId="172" priority="23" operator="between">
      <formula>4</formula>
      <formula>6</formula>
    </cfRule>
    <cfRule type="cellIs" dxfId="171" priority="22" operator="lessThan">
      <formula>0</formula>
    </cfRule>
    <cfRule type="cellIs" dxfId="170" priority="21" operator="equal">
      <formula>0</formula>
    </cfRule>
  </conditionalFormatting>
  <conditionalFormatting sqref="AD65:AO65">
    <cfRule type="cellIs" dxfId="169" priority="20" operator="greaterThan">
      <formula>6</formula>
    </cfRule>
    <cfRule type="cellIs" dxfId="168" priority="19" operator="lessThan">
      <formula>4</formula>
    </cfRule>
    <cfRule type="cellIs" dxfId="167" priority="18" operator="between">
      <formula>4</formula>
      <formula>6</formula>
    </cfRule>
    <cfRule type="cellIs" dxfId="166" priority="17" operator="lessThan">
      <formula>0</formula>
    </cfRule>
    <cfRule type="cellIs" dxfId="165" priority="16" operator="equal">
      <formula>0</formula>
    </cfRule>
  </conditionalFormatting>
  <conditionalFormatting sqref="AD73:AO73">
    <cfRule type="cellIs" dxfId="164" priority="15" operator="greaterThan">
      <formula>6</formula>
    </cfRule>
    <cfRule type="cellIs" dxfId="163" priority="14" operator="lessThan">
      <formula>4</formula>
    </cfRule>
    <cfRule type="cellIs" dxfId="162" priority="13" operator="between">
      <formula>4</formula>
      <formula>6</formula>
    </cfRule>
    <cfRule type="cellIs" dxfId="161" priority="12" operator="lessThan">
      <formula>0</formula>
    </cfRule>
    <cfRule type="cellIs" dxfId="160" priority="11" operator="equal">
      <formula>0</formula>
    </cfRule>
  </conditionalFormatting>
  <conditionalFormatting sqref="AD81:AO81">
    <cfRule type="cellIs" dxfId="159" priority="10" operator="greaterThan">
      <formula>6</formula>
    </cfRule>
    <cfRule type="cellIs" dxfId="158" priority="9" operator="lessThan">
      <formula>4</formula>
    </cfRule>
    <cfRule type="cellIs" dxfId="157" priority="8" operator="between">
      <formula>4</formula>
      <formula>6</formula>
    </cfRule>
    <cfRule type="cellIs" dxfId="156" priority="7" operator="lessThan">
      <formula>0</formula>
    </cfRule>
    <cfRule type="cellIs" dxfId="155" priority="6" operator="equal">
      <formula>0</formula>
    </cfRule>
  </conditionalFormatting>
  <conditionalFormatting sqref="AD89:AO89">
    <cfRule type="cellIs" dxfId="154" priority="1" operator="equal">
      <formula>0</formula>
    </cfRule>
    <cfRule type="cellIs" dxfId="153" priority="5" operator="greaterThan">
      <formula>6</formula>
    </cfRule>
    <cfRule type="cellIs" dxfId="152" priority="4" operator="lessThan">
      <formula>4</formula>
    </cfRule>
    <cfRule type="cellIs" dxfId="151" priority="3" operator="between">
      <formula>4</formula>
      <formula>6</formula>
    </cfRule>
    <cfRule type="cellIs" dxfId="150" priority="2" operator="lessThan">
      <formula>0</formula>
    </cfRule>
  </conditionalFormatting>
  <pageMargins left="0.7" right="0.7" top="0.75" bottom="0.75" header="0.3" footer="0.3"/>
  <pageSetup orientation="portrait" r:id="rId1"/>
  <headerFooter>
    <oddFooter>&amp;L_x000D_&amp;1#&amp;"Aptos"&amp;10&amp;K000000 Confidential External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55B2-6CD6-406E-A00F-DC2D0FF0FD0D}">
  <sheetPr codeName="Sheet8">
    <tabColor theme="4" tint="0.59999389629810485"/>
  </sheetPr>
  <dimension ref="A1:AO43"/>
  <sheetViews>
    <sheetView zoomScale="80" zoomScaleNormal="80" workbookViewId="0">
      <pane xSplit="2" ySplit="2" topLeftCell="O27" activePane="bottomRight" state="frozen"/>
      <selection pane="topRight" activeCell="C1" sqref="C1"/>
      <selection pane="bottomLeft" activeCell="A3" sqref="A3"/>
      <selection pane="bottomRight" activeCell="A36" sqref="A36:A42"/>
    </sheetView>
  </sheetViews>
  <sheetFormatPr defaultColWidth="22.81640625" defaultRowHeight="14.5" outlineLevelCol="1" x14ac:dyDescent="0.35"/>
  <cols>
    <col min="1" max="1" width="31.81640625" style="6" bestFit="1" customWidth="1"/>
    <col min="2" max="2" width="27.54296875" style="1" bestFit="1" customWidth="1"/>
    <col min="3" max="6" width="7" style="1" hidden="1" customWidth="1" outlineLevel="1"/>
    <col min="7" max="7" width="7.26953125" style="1" hidden="1" customWidth="1" outlineLevel="1"/>
    <col min="8" max="13" width="7" style="1" hidden="1" customWidth="1" outlineLevel="1"/>
    <col min="14" max="14" width="8.1796875" style="1" hidden="1" customWidth="1" outlineLevel="1"/>
    <col min="15" max="15" width="9.81640625" style="2" bestFit="1" customWidth="1" collapsed="1"/>
    <col min="16" max="17" width="7.7265625" style="1" bestFit="1" customWidth="1"/>
    <col min="18" max="19" width="7" style="1" bestFit="1" customWidth="1"/>
    <col min="20" max="20" width="7.26953125" style="1" bestFit="1" customWidth="1"/>
    <col min="21" max="26" width="7" style="1" bestFit="1" customWidth="1"/>
    <col min="27" max="27" width="7.26953125" style="1" bestFit="1" customWidth="1"/>
    <col min="28" max="28" width="9.81640625" style="1" bestFit="1" customWidth="1"/>
    <col min="29" max="30" width="7.7265625" style="1" bestFit="1" customWidth="1"/>
    <col min="31" max="32" width="7" style="1" bestFit="1" customWidth="1"/>
    <col min="33" max="33" width="7.26953125" style="1" bestFit="1" customWidth="1"/>
    <col min="34" max="39" width="7" style="1" bestFit="1" customWidth="1"/>
    <col min="40" max="40" width="7.26953125" style="1" bestFit="1" customWidth="1"/>
    <col min="41" max="41" width="9.81640625" style="1" bestFit="1" customWidth="1"/>
    <col min="42" max="16384" width="22.81640625" style="1"/>
  </cols>
  <sheetData>
    <row r="1" spans="1:41" ht="15" thickBot="1" x14ac:dyDescent="0.4"/>
    <row r="2" spans="1:41" s="6" customFormat="1" x14ac:dyDescent="0.35">
      <c r="A2" s="6" t="s">
        <v>0</v>
      </c>
      <c r="C2" s="49">
        <v>45658</v>
      </c>
      <c r="D2" s="49">
        <v>45689</v>
      </c>
      <c r="E2" s="49">
        <v>45717</v>
      </c>
      <c r="F2" s="49">
        <v>45748</v>
      </c>
      <c r="G2" s="49">
        <v>45778</v>
      </c>
      <c r="H2" s="49">
        <v>45809</v>
      </c>
      <c r="I2" s="49">
        <v>45839</v>
      </c>
      <c r="J2" s="49">
        <v>45870</v>
      </c>
      <c r="K2" s="7">
        <v>45901</v>
      </c>
      <c r="L2" s="7">
        <v>45931</v>
      </c>
      <c r="M2" s="7">
        <v>45962</v>
      </c>
      <c r="N2" s="7">
        <v>45992</v>
      </c>
      <c r="O2" s="5" t="s">
        <v>1</v>
      </c>
      <c r="P2" s="7">
        <v>46023</v>
      </c>
      <c r="Q2" s="7">
        <v>46054</v>
      </c>
      <c r="R2" s="7">
        <v>46082</v>
      </c>
      <c r="S2" s="7">
        <v>46113</v>
      </c>
      <c r="T2" s="7">
        <v>46143</v>
      </c>
      <c r="U2" s="7">
        <v>46174</v>
      </c>
      <c r="V2" s="7">
        <v>46204</v>
      </c>
      <c r="W2" s="7">
        <v>46235</v>
      </c>
      <c r="X2" s="7">
        <v>46266</v>
      </c>
      <c r="Y2" s="7">
        <v>46296</v>
      </c>
      <c r="Z2" s="7">
        <v>46327</v>
      </c>
      <c r="AA2" s="7">
        <v>46357</v>
      </c>
      <c r="AB2" s="5" t="s">
        <v>2</v>
      </c>
      <c r="AC2" s="7">
        <v>46388</v>
      </c>
      <c r="AD2" s="7">
        <v>46419</v>
      </c>
      <c r="AE2" s="7">
        <v>46447</v>
      </c>
      <c r="AF2" s="7">
        <v>46478</v>
      </c>
      <c r="AG2" s="7">
        <v>46508</v>
      </c>
      <c r="AH2" s="7">
        <v>46539</v>
      </c>
      <c r="AI2" s="7">
        <v>46569</v>
      </c>
      <c r="AJ2" s="7">
        <v>46600</v>
      </c>
      <c r="AK2" s="7">
        <v>46631</v>
      </c>
      <c r="AL2" s="7">
        <v>46661</v>
      </c>
      <c r="AM2" s="7">
        <v>46692</v>
      </c>
      <c r="AN2" s="7">
        <v>46722</v>
      </c>
      <c r="AO2" s="5" t="s">
        <v>3</v>
      </c>
    </row>
    <row r="3" spans="1:41" s="23" customFormat="1" ht="15" thickBot="1" x14ac:dyDescent="0.4">
      <c r="A3" s="22"/>
      <c r="C3" s="74"/>
      <c r="D3" s="74"/>
      <c r="E3" s="74"/>
      <c r="F3" s="74"/>
      <c r="G3" s="74"/>
      <c r="H3" s="74"/>
      <c r="I3" s="74"/>
      <c r="J3" s="74"/>
      <c r="K3" s="24"/>
      <c r="L3" s="24"/>
      <c r="M3" s="24"/>
      <c r="N3" s="24"/>
      <c r="O3" s="25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5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5"/>
    </row>
    <row r="4" spans="1:41" ht="14.5" customHeight="1" x14ac:dyDescent="0.35">
      <c r="A4" s="162" t="str">
        <f>'IMS vs FRCST'!B8</f>
        <v>Al Fakher Grapes &amp; Mint 250g</v>
      </c>
      <c r="B4" s="21" t="s">
        <v>53</v>
      </c>
      <c r="C4" s="70">
        <v>36</v>
      </c>
      <c r="D4" s="70">
        <f t="shared" ref="D4:N4" si="0">C9</f>
        <v>19</v>
      </c>
      <c r="E4" s="70">
        <f t="shared" si="0"/>
        <v>-2</v>
      </c>
      <c r="F4" s="70">
        <f t="shared" si="0"/>
        <v>328</v>
      </c>
      <c r="G4" s="70">
        <f t="shared" si="0"/>
        <v>197</v>
      </c>
      <c r="H4" s="70">
        <f t="shared" si="0"/>
        <v>78</v>
      </c>
      <c r="I4" s="70">
        <f t="shared" si="0"/>
        <v>-42</v>
      </c>
      <c r="J4" s="70">
        <f t="shared" si="0"/>
        <v>178</v>
      </c>
      <c r="K4" s="32">
        <f t="shared" si="0"/>
        <v>1</v>
      </c>
      <c r="L4" s="32">
        <f t="shared" si="0"/>
        <v>-120</v>
      </c>
      <c r="M4" s="32">
        <f t="shared" si="0"/>
        <v>-75</v>
      </c>
      <c r="N4" s="32">
        <f t="shared" si="0"/>
        <v>-120</v>
      </c>
      <c r="O4" s="33"/>
      <c r="P4" s="32">
        <f>N9</f>
        <v>53</v>
      </c>
      <c r="Q4" s="32">
        <f>P9</f>
        <v>0</v>
      </c>
      <c r="R4" s="32">
        <f t="shared" ref="R4:AA4" si="1">Q9</f>
        <v>193</v>
      </c>
      <c r="S4" s="32">
        <f t="shared" si="1"/>
        <v>280</v>
      </c>
      <c r="T4" s="32">
        <f t="shared" si="1"/>
        <v>280</v>
      </c>
      <c r="U4" s="32">
        <f t="shared" si="1"/>
        <v>230</v>
      </c>
      <c r="V4" s="32">
        <f t="shared" si="1"/>
        <v>255</v>
      </c>
      <c r="W4" s="32">
        <f t="shared" si="1"/>
        <v>380</v>
      </c>
      <c r="X4" s="32">
        <f t="shared" si="1"/>
        <v>255</v>
      </c>
      <c r="Y4" s="32">
        <f t="shared" si="1"/>
        <v>130</v>
      </c>
      <c r="Z4" s="32">
        <f t="shared" si="1"/>
        <v>105</v>
      </c>
      <c r="AA4" s="32">
        <f t="shared" si="1"/>
        <v>80</v>
      </c>
      <c r="AB4" s="33"/>
      <c r="AC4" s="32">
        <f>AA9</f>
        <v>105</v>
      </c>
      <c r="AD4" s="32">
        <f>AC9</f>
        <v>105</v>
      </c>
      <c r="AE4" s="32">
        <f t="shared" ref="AE4" si="2">AD9</f>
        <v>92.5</v>
      </c>
      <c r="AF4" s="32">
        <f t="shared" ref="AF4" si="3">AE9</f>
        <v>118</v>
      </c>
      <c r="AG4" s="32">
        <f t="shared" ref="AG4" si="4">AF9</f>
        <v>118</v>
      </c>
      <c r="AH4" s="32">
        <f t="shared" ref="AH4" si="5">AG9</f>
        <v>118</v>
      </c>
      <c r="AI4" s="32">
        <f t="shared" ref="AI4" si="6">AH9</f>
        <v>118</v>
      </c>
      <c r="AJ4" s="32">
        <f t="shared" ref="AJ4" si="7">AI9</f>
        <v>194.5</v>
      </c>
      <c r="AK4" s="32">
        <f t="shared" ref="AK4" si="8">AJ9</f>
        <v>271</v>
      </c>
      <c r="AL4" s="32">
        <f t="shared" ref="AL4" si="9">AK9</f>
        <v>296.5</v>
      </c>
      <c r="AM4" s="32">
        <f t="shared" ref="AM4" si="10">AL9</f>
        <v>296.5</v>
      </c>
      <c r="AN4" s="32">
        <f t="shared" ref="AN4" si="11">AM9</f>
        <v>296.5</v>
      </c>
      <c r="AO4" s="33"/>
    </row>
    <row r="5" spans="1:41" x14ac:dyDescent="0.35">
      <c r="A5" s="163"/>
      <c r="B5" s="4" t="s">
        <v>54</v>
      </c>
      <c r="C5" s="71"/>
      <c r="D5" s="71"/>
      <c r="E5" s="71"/>
      <c r="F5" s="71"/>
      <c r="G5" s="71"/>
      <c r="H5" s="71"/>
      <c r="I5" s="71"/>
      <c r="J5" s="71"/>
      <c r="K5" s="27"/>
      <c r="L5" s="27"/>
      <c r="M5" s="27"/>
      <c r="N5" s="27"/>
      <c r="O5" s="26"/>
      <c r="P5" s="27">
        <v>120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6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6"/>
    </row>
    <row r="6" spans="1:41" s="6" customFormat="1" x14ac:dyDescent="0.35">
      <c r="A6" s="163"/>
      <c r="B6" s="42" t="s">
        <v>55</v>
      </c>
      <c r="C6" s="44">
        <f>'IMS vs FRCST'!C8</f>
        <v>17</v>
      </c>
      <c r="D6" s="44">
        <f>'IMS vs FRCST'!D8</f>
        <v>21</v>
      </c>
      <c r="E6" s="44">
        <f>'IMS vs FRCST'!E8</f>
        <v>170</v>
      </c>
      <c r="F6" s="44">
        <f>'IMS vs FRCST'!F8</f>
        <v>131</v>
      </c>
      <c r="G6" s="44">
        <f>'IMS vs FRCST'!G8</f>
        <v>119</v>
      </c>
      <c r="H6" s="44">
        <f>'IMS vs FRCST'!H8</f>
        <v>120</v>
      </c>
      <c r="I6" s="44">
        <f>'IMS vs FRCST'!I8</f>
        <v>186</v>
      </c>
      <c r="J6" s="44">
        <f>'IMS vs FRCST'!J8</f>
        <v>177</v>
      </c>
      <c r="K6" s="43">
        <f>'IMS vs FRCST'!K8</f>
        <v>121</v>
      </c>
      <c r="L6" s="43">
        <f>'IMS vs FRCST'!L8</f>
        <v>128</v>
      </c>
      <c r="M6" s="43">
        <f>'IMS vs FRCST'!M8</f>
        <v>45</v>
      </c>
      <c r="N6" s="43">
        <f>'IMS vs FRCST'!N8</f>
        <v>52</v>
      </c>
      <c r="O6" s="26">
        <f>SUM(C6:N6)</f>
        <v>1287</v>
      </c>
      <c r="P6" s="28">
        <f>'IMS vs FRCST'!P8</f>
        <v>173</v>
      </c>
      <c r="Q6" s="28">
        <f>'IMS vs FRCST'!Q8</f>
        <v>95</v>
      </c>
      <c r="R6" s="28">
        <f>'IMS vs FRCST'!R8</f>
        <v>113</v>
      </c>
      <c r="S6" s="28">
        <f>'IMS vs FRCST'!S8</f>
        <v>150</v>
      </c>
      <c r="T6" s="28">
        <f>'IMS vs FRCST'!T8</f>
        <v>150</v>
      </c>
      <c r="U6" s="28">
        <f>'IMS vs FRCST'!U8</f>
        <v>150</v>
      </c>
      <c r="V6" s="28">
        <f>'IMS vs FRCST'!V8</f>
        <v>125</v>
      </c>
      <c r="W6" s="28">
        <f>'IMS vs FRCST'!W8</f>
        <v>125</v>
      </c>
      <c r="X6" s="28">
        <f>'IMS vs FRCST'!X8</f>
        <v>125</v>
      </c>
      <c r="Y6" s="28">
        <f>'IMS vs FRCST'!Y8</f>
        <v>125</v>
      </c>
      <c r="Z6" s="28">
        <f>'IMS vs FRCST'!Z8</f>
        <v>125</v>
      </c>
      <c r="AA6" s="28">
        <f>'IMS vs FRCST'!AA8</f>
        <v>100</v>
      </c>
      <c r="AB6" s="26">
        <f>SUM(P6:AA6)</f>
        <v>1556</v>
      </c>
      <c r="AC6" s="28">
        <f>'IMS vs FRCST'!AC8</f>
        <v>125</v>
      </c>
      <c r="AD6" s="28">
        <f>'IMS vs FRCST'!AD8</f>
        <v>140</v>
      </c>
      <c r="AE6" s="28">
        <f>'IMS vs FRCST'!AE8</f>
        <v>127.5</v>
      </c>
      <c r="AF6" s="28">
        <f>'IMS vs FRCST'!AF8</f>
        <v>153</v>
      </c>
      <c r="AG6" s="28">
        <f>'IMS vs FRCST'!AG8</f>
        <v>153</v>
      </c>
      <c r="AH6" s="28">
        <f>'IMS vs FRCST'!AH8</f>
        <v>153</v>
      </c>
      <c r="AI6" s="28">
        <f>'IMS vs FRCST'!AI8</f>
        <v>127.5</v>
      </c>
      <c r="AJ6" s="28">
        <f>'IMS vs FRCST'!AJ8</f>
        <v>127.5</v>
      </c>
      <c r="AK6" s="28">
        <f>'IMS vs FRCST'!AK8</f>
        <v>127.5</v>
      </c>
      <c r="AL6" s="28">
        <f>'IMS vs FRCST'!AL8</f>
        <v>127.5</v>
      </c>
      <c r="AM6" s="28">
        <f>'IMS vs FRCST'!AM8</f>
        <v>127.5</v>
      </c>
      <c r="AN6" s="28">
        <f>'IMS vs FRCST'!AN8</f>
        <v>102</v>
      </c>
      <c r="AO6" s="26">
        <f>SUM(AC6:AN6)</f>
        <v>1591</v>
      </c>
    </row>
    <row r="7" spans="1:41" x14ac:dyDescent="0.35">
      <c r="A7" s="163"/>
      <c r="B7" s="4" t="s">
        <v>56</v>
      </c>
      <c r="C7" s="71">
        <f>'Shipment (Production)'!G9</f>
        <v>0</v>
      </c>
      <c r="D7" s="71">
        <f>'Shipment (Production)'!L9</f>
        <v>120</v>
      </c>
      <c r="E7" s="71">
        <f>'Shipment (Production)'!Q9</f>
        <v>500</v>
      </c>
      <c r="F7" s="71">
        <f>'Shipment (Production)'!V9</f>
        <v>0</v>
      </c>
      <c r="G7" s="71">
        <f>'Shipment (Production)'!AA9</f>
        <v>0</v>
      </c>
      <c r="H7" s="71">
        <f>'Shipment (Production)'!AF9</f>
        <v>0</v>
      </c>
      <c r="I7" s="71">
        <f>'Shipment (Production)'!AK9</f>
        <v>406</v>
      </c>
      <c r="J7" s="71">
        <f>'Shipment (Production)'!AP9</f>
        <v>0</v>
      </c>
      <c r="K7" s="27">
        <f>'Shipment (Production)'!AU9</f>
        <v>0</v>
      </c>
      <c r="L7" s="27">
        <f>'Shipment (Production)'!AZ9</f>
        <v>173</v>
      </c>
      <c r="M7" s="27">
        <f>'Shipment (Production)'!BE9</f>
        <v>225</v>
      </c>
      <c r="N7" s="27">
        <f>'Shipment (Production)'!BJ9</f>
        <v>0</v>
      </c>
      <c r="O7" s="26">
        <f>SUM(C7:N7)</f>
        <v>1424</v>
      </c>
      <c r="P7" s="27">
        <f>'Shipment (Production)'!BP9</f>
        <v>288</v>
      </c>
      <c r="Q7" s="27">
        <f>'Shipment (Production)'!BU9</f>
        <v>200</v>
      </c>
      <c r="R7" s="27">
        <f>'Shipment (Production)'!BZ9</f>
        <v>150</v>
      </c>
      <c r="S7" s="27">
        <f>'Shipment (Production)'!CE9</f>
        <v>100</v>
      </c>
      <c r="T7" s="27">
        <f>'Shipment (Production)'!CJ9</f>
        <v>175</v>
      </c>
      <c r="U7" s="27">
        <f>'Shipment (Production)'!CO9</f>
        <v>250</v>
      </c>
      <c r="V7" s="27">
        <f>'Shipment (Production)'!CT9</f>
        <v>0</v>
      </c>
      <c r="W7" s="27">
        <f>'Shipment (Production)'!CY9</f>
        <v>0</v>
      </c>
      <c r="X7" s="27">
        <f>'Shipment (Production)'!DD9</f>
        <v>100</v>
      </c>
      <c r="Y7" s="27">
        <f>'Shipment (Production)'!DI9</f>
        <v>100</v>
      </c>
      <c r="Z7" s="27">
        <f>'Shipment (Production)'!DN9</f>
        <v>125</v>
      </c>
      <c r="AA7" s="27">
        <f>'Shipment (Production)'!DS9</f>
        <v>0</v>
      </c>
      <c r="AB7" s="26">
        <f>SUM(P7:AA7)</f>
        <v>1488</v>
      </c>
      <c r="AC7" s="27">
        <f>'Shipment (Production)'!DY9</f>
        <v>125</v>
      </c>
      <c r="AD7" s="27">
        <f>'Shipment (Production)'!ED9</f>
        <v>140</v>
      </c>
      <c r="AE7" s="27">
        <f>'Shipment (Production)'!EI9</f>
        <v>127.5</v>
      </c>
      <c r="AF7" s="27">
        <f>'Shipment (Production)'!EN9</f>
        <v>153</v>
      </c>
      <c r="AG7" s="27">
        <f>'Shipment (Production)'!ES9</f>
        <v>153</v>
      </c>
      <c r="AH7" s="27">
        <f>'Shipment (Production)'!EX9</f>
        <v>153</v>
      </c>
      <c r="AI7" s="27">
        <f>'Shipment (Production)'!FC9</f>
        <v>204</v>
      </c>
      <c r="AJ7" s="27">
        <f>'Shipment (Production)'!FH9</f>
        <v>204</v>
      </c>
      <c r="AK7" s="27">
        <f>'Shipment (Production)'!FM9</f>
        <v>153</v>
      </c>
      <c r="AL7" s="27">
        <f>'Shipment (Production)'!FR9</f>
        <v>127.5</v>
      </c>
      <c r="AM7" s="27">
        <f>'Shipment (Production)'!FW9</f>
        <v>127.5</v>
      </c>
      <c r="AN7" s="27">
        <f>'Shipment (Production)'!GB9</f>
        <v>127.5</v>
      </c>
      <c r="AO7" s="26">
        <f>SUM(AC7:AN7)</f>
        <v>1795</v>
      </c>
    </row>
    <row r="8" spans="1:41" x14ac:dyDescent="0.35">
      <c r="A8" s="163"/>
      <c r="B8" s="4" t="s">
        <v>57</v>
      </c>
      <c r="C8" s="71">
        <f>'Arrival to Regie'!G9</f>
        <v>0</v>
      </c>
      <c r="D8" s="71">
        <f>'Arrival to Regie'!L9</f>
        <v>0</v>
      </c>
      <c r="E8" s="71">
        <f>'Arrival to Regie'!Q9</f>
        <v>500</v>
      </c>
      <c r="F8" s="71">
        <f>'Arrival to Regie'!V9</f>
        <v>0</v>
      </c>
      <c r="G8" s="71">
        <f>'Arrival to Regie'!AA9</f>
        <v>0</v>
      </c>
      <c r="H8" s="71">
        <f>'Arrival to Regie'!AF9</f>
        <v>0</v>
      </c>
      <c r="I8" s="71">
        <f>'Arrival to Regie'!AK9</f>
        <v>406</v>
      </c>
      <c r="J8" s="71">
        <f>'Arrival to Regie'!AP9</f>
        <v>0</v>
      </c>
      <c r="K8" s="27">
        <f>'Arrival to Regie'!AU9</f>
        <v>0</v>
      </c>
      <c r="L8" s="27">
        <f>'Arrival to Regie'!AZ9</f>
        <v>173</v>
      </c>
      <c r="M8" s="27">
        <f>'Arrival to Regie'!BE9</f>
        <v>0</v>
      </c>
      <c r="N8" s="27">
        <f>'Arrival to Regie'!BJ9</f>
        <v>225</v>
      </c>
      <c r="O8" s="26">
        <f>SUM(C8:N8)</f>
        <v>1304</v>
      </c>
      <c r="P8" s="27">
        <f>'Arrival to Regie'!BP9</f>
        <v>0</v>
      </c>
      <c r="Q8" s="27">
        <f>'Arrival to Regie'!BU9</f>
        <v>288</v>
      </c>
      <c r="R8" s="27">
        <f>'Arrival to Regie'!BZ9</f>
        <v>200</v>
      </c>
      <c r="S8" s="27">
        <f>'Arrival to Regie'!CE9</f>
        <v>150</v>
      </c>
      <c r="T8" s="27">
        <f>'Arrival to Regie'!CJ9</f>
        <v>100</v>
      </c>
      <c r="U8" s="27">
        <f>'Arrival to Regie'!CO9</f>
        <v>175</v>
      </c>
      <c r="V8" s="27">
        <f>'Arrival to Regie'!CT9</f>
        <v>250</v>
      </c>
      <c r="W8" s="27">
        <f>'Arrival to Regie'!CY9</f>
        <v>0</v>
      </c>
      <c r="X8" s="27">
        <f>'Arrival to Regie'!DD9</f>
        <v>0</v>
      </c>
      <c r="Y8" s="27">
        <f>'Arrival to Regie'!DI9</f>
        <v>100</v>
      </c>
      <c r="Z8" s="27">
        <f>'Arrival to Regie'!DN9</f>
        <v>100</v>
      </c>
      <c r="AA8" s="27">
        <f>'Arrival to Regie'!DS9</f>
        <v>125</v>
      </c>
      <c r="AB8" s="26">
        <f>SUM(P8:AA8)</f>
        <v>1488</v>
      </c>
      <c r="AC8" s="27">
        <f>'Arrival to Regie'!DY9</f>
        <v>125</v>
      </c>
      <c r="AD8" s="27">
        <f>'Arrival to Regie'!EI9</f>
        <v>127.5</v>
      </c>
      <c r="AE8" s="27">
        <f>'Arrival to Regie'!EN9</f>
        <v>153</v>
      </c>
      <c r="AF8" s="27">
        <f>'Arrival to Regie'!ES9</f>
        <v>153</v>
      </c>
      <c r="AG8" s="27">
        <f>'Arrival to Regie'!ES9</f>
        <v>153</v>
      </c>
      <c r="AH8" s="27">
        <f>'Arrival to Regie'!EX9</f>
        <v>153</v>
      </c>
      <c r="AI8" s="27">
        <f>'Arrival to Regie'!FC9</f>
        <v>204</v>
      </c>
      <c r="AJ8" s="27">
        <f>'Arrival to Regie'!FH9</f>
        <v>204</v>
      </c>
      <c r="AK8" s="27">
        <f>'Arrival to Regie'!FM9</f>
        <v>153</v>
      </c>
      <c r="AL8" s="27">
        <f>'Arrival to Regie'!FR9</f>
        <v>127.5</v>
      </c>
      <c r="AM8" s="27">
        <f>'Arrival to Regie'!FW9</f>
        <v>127.5</v>
      </c>
      <c r="AN8" s="27">
        <f>'Arrival to Regie'!GB9</f>
        <v>127.5</v>
      </c>
      <c r="AO8" s="26">
        <f>SUM(AC8:AN8)</f>
        <v>1808</v>
      </c>
    </row>
    <row r="9" spans="1:41" x14ac:dyDescent="0.35">
      <c r="A9" s="163"/>
      <c r="B9" s="47" t="s">
        <v>58</v>
      </c>
      <c r="C9" s="72">
        <f t="shared" ref="C9:AA9" si="12">C4+C5+C8-C6</f>
        <v>19</v>
      </c>
      <c r="D9" s="72">
        <f t="shared" si="12"/>
        <v>-2</v>
      </c>
      <c r="E9" s="72">
        <f t="shared" si="12"/>
        <v>328</v>
      </c>
      <c r="F9" s="72">
        <f t="shared" si="12"/>
        <v>197</v>
      </c>
      <c r="G9" s="72">
        <f t="shared" si="12"/>
        <v>78</v>
      </c>
      <c r="H9" s="72">
        <f t="shared" si="12"/>
        <v>-42</v>
      </c>
      <c r="I9" s="72">
        <f t="shared" si="12"/>
        <v>178</v>
      </c>
      <c r="J9" s="72">
        <f t="shared" si="12"/>
        <v>1</v>
      </c>
      <c r="K9" s="48">
        <f t="shared" si="12"/>
        <v>-120</v>
      </c>
      <c r="L9" s="48">
        <f t="shared" si="12"/>
        <v>-75</v>
      </c>
      <c r="M9" s="48">
        <f t="shared" si="12"/>
        <v>-120</v>
      </c>
      <c r="N9" s="48">
        <f t="shared" si="12"/>
        <v>53</v>
      </c>
      <c r="O9" s="26"/>
      <c r="P9" s="48">
        <f t="shared" si="12"/>
        <v>0</v>
      </c>
      <c r="Q9" s="48">
        <f t="shared" si="12"/>
        <v>193</v>
      </c>
      <c r="R9" s="48">
        <f t="shared" si="12"/>
        <v>280</v>
      </c>
      <c r="S9" s="48">
        <f t="shared" si="12"/>
        <v>280</v>
      </c>
      <c r="T9" s="48">
        <f t="shared" si="12"/>
        <v>230</v>
      </c>
      <c r="U9" s="48">
        <f t="shared" si="12"/>
        <v>255</v>
      </c>
      <c r="V9" s="48">
        <f t="shared" si="12"/>
        <v>380</v>
      </c>
      <c r="W9" s="48">
        <f t="shared" si="12"/>
        <v>255</v>
      </c>
      <c r="X9" s="48">
        <f t="shared" si="12"/>
        <v>130</v>
      </c>
      <c r="Y9" s="48">
        <f t="shared" si="12"/>
        <v>105</v>
      </c>
      <c r="Z9" s="48">
        <f t="shared" si="12"/>
        <v>80</v>
      </c>
      <c r="AA9" s="48">
        <f t="shared" si="12"/>
        <v>105</v>
      </c>
      <c r="AB9" s="26"/>
      <c r="AC9" s="48">
        <f t="shared" ref="AC9:AN9" si="13">AC4+AC5+AC8-AC6</f>
        <v>105</v>
      </c>
      <c r="AD9" s="48">
        <f t="shared" si="13"/>
        <v>92.5</v>
      </c>
      <c r="AE9" s="48">
        <f t="shared" si="13"/>
        <v>118</v>
      </c>
      <c r="AF9" s="48">
        <f t="shared" si="13"/>
        <v>118</v>
      </c>
      <c r="AG9" s="48">
        <f t="shared" si="13"/>
        <v>118</v>
      </c>
      <c r="AH9" s="48">
        <f t="shared" si="13"/>
        <v>118</v>
      </c>
      <c r="AI9" s="48">
        <f t="shared" si="13"/>
        <v>194.5</v>
      </c>
      <c r="AJ9" s="48">
        <f t="shared" si="13"/>
        <v>271</v>
      </c>
      <c r="AK9" s="48">
        <f t="shared" si="13"/>
        <v>296.5</v>
      </c>
      <c r="AL9" s="48">
        <f t="shared" si="13"/>
        <v>296.5</v>
      </c>
      <c r="AM9" s="48">
        <f t="shared" si="13"/>
        <v>296.5</v>
      </c>
      <c r="AN9" s="48">
        <f t="shared" si="13"/>
        <v>322</v>
      </c>
      <c r="AO9" s="26"/>
    </row>
    <row r="10" spans="1:41" ht="15" thickBot="1" x14ac:dyDescent="0.4">
      <c r="A10" s="164"/>
      <c r="B10" s="34" t="s">
        <v>59</v>
      </c>
      <c r="C10" s="35">
        <f>IF(C9=0,0,IFERROR((((C9)/(AVERAGE(D6:E6)))*4.3),"∞"))</f>
        <v>0.85549738219895277</v>
      </c>
      <c r="D10" s="35">
        <f t="shared" ref="D10:L10" si="14">IF(D9=0,0,IFERROR((((D9)/(AVERAGE(E6:F6)))*4.3),"∞"))</f>
        <v>-5.7142857142857141E-2</v>
      </c>
      <c r="E10" s="35">
        <f t="shared" si="14"/>
        <v>11.283200000000001</v>
      </c>
      <c r="F10" s="35">
        <f t="shared" si="14"/>
        <v>7.0887029288702923</v>
      </c>
      <c r="G10" s="35">
        <f t="shared" si="14"/>
        <v>2.1921568627450978</v>
      </c>
      <c r="H10" s="35">
        <f t="shared" si="14"/>
        <v>-0.99504132231404963</v>
      </c>
      <c r="I10" s="35">
        <f t="shared" si="14"/>
        <v>5.1369127516778521</v>
      </c>
      <c r="J10" s="35">
        <f t="shared" si="14"/>
        <v>3.4538152610441762E-2</v>
      </c>
      <c r="K10" s="35">
        <f t="shared" si="14"/>
        <v>-5.9653179190751437</v>
      </c>
      <c r="L10" s="35">
        <f t="shared" si="14"/>
        <v>-6.6494845360824746</v>
      </c>
      <c r="M10" s="35">
        <f>IF(M9=0,0,IFERROR((((M9)/(AVERAGE(N6,P6)))*4.3),"∞"))</f>
        <v>-4.586666666666666</v>
      </c>
      <c r="N10" s="35">
        <f>IF(N9=0,0,IFERROR((((N9)/(AVERAGE(P6:Q6)))*4.3),"∞"))</f>
        <v>1.7007462686567163</v>
      </c>
      <c r="O10" s="36"/>
      <c r="P10" s="35">
        <f>IF(P9=0,0,IFERROR((((P9)/(AVERAGE(Q6:R6)))*4.3),"∞"))</f>
        <v>0</v>
      </c>
      <c r="Q10" s="35">
        <f t="shared" ref="Q10:Y10" si="15">IF(Q9=0,0,IFERROR((((Q9)/(AVERAGE(R6:S6)))*4.3),"∞"))</f>
        <v>6.3110266159695811</v>
      </c>
      <c r="R10" s="35">
        <f t="shared" si="15"/>
        <v>8.0266666666666673</v>
      </c>
      <c r="S10" s="35">
        <f t="shared" si="15"/>
        <v>8.0266666666666673</v>
      </c>
      <c r="T10" s="35">
        <f t="shared" si="15"/>
        <v>7.1927272727272715</v>
      </c>
      <c r="U10" s="35">
        <f t="shared" si="15"/>
        <v>8.7720000000000002</v>
      </c>
      <c r="V10" s="35">
        <f t="shared" si="15"/>
        <v>13.071999999999999</v>
      </c>
      <c r="W10" s="35">
        <f t="shared" si="15"/>
        <v>8.7720000000000002</v>
      </c>
      <c r="X10" s="35">
        <f t="shared" si="15"/>
        <v>4.4719999999999995</v>
      </c>
      <c r="Y10" s="35">
        <f t="shared" si="15"/>
        <v>4.0133333333333336</v>
      </c>
      <c r="Z10" s="35">
        <f>IF(Z9=0,0,IFERROR((((Z9)/(AVERAGE(AA6,AC6)))*4.3),"∞"))</f>
        <v>3.0577777777777779</v>
      </c>
      <c r="AA10" s="35">
        <f>IF(AA9=0,0,IFERROR((((AA9)/(AVERAGE(AC6:AD6)))*4.3),"∞"))</f>
        <v>3.4075471698113207</v>
      </c>
      <c r="AB10" s="36"/>
      <c r="AC10" s="35">
        <f>IF(AC9=0,0,IFERROR((((AC9)/(AVERAGE(AD6:AE6)))*4.3),"∞"))</f>
        <v>3.3757009345794389</v>
      </c>
      <c r="AD10" s="35">
        <f t="shared" ref="AD10" si="16">IF(AD9=0,0,IFERROR((((AD9)/(AVERAGE(AE6:AF6)))*4.3),"∞"))</f>
        <v>2.8360071301247771</v>
      </c>
      <c r="AE10" s="35">
        <f t="shared" ref="AE10" si="17">IF(AE9=0,0,IFERROR((((AE9)/(AVERAGE(AF6:AG6)))*4.3),"∞"))</f>
        <v>3.316339869281046</v>
      </c>
      <c r="AF10" s="35">
        <f t="shared" ref="AF10" si="18">IF(AF9=0,0,IFERROR((((AF9)/(AVERAGE(AG6:AH6)))*4.3),"∞"))</f>
        <v>3.316339869281046</v>
      </c>
      <c r="AG10" s="35">
        <f t="shared" ref="AG10" si="19">IF(AG9=0,0,IFERROR((((AG9)/(AVERAGE(AH6:AI6)))*4.3),"∞"))</f>
        <v>3.6178253119429589</v>
      </c>
      <c r="AH10" s="35">
        <f t="shared" ref="AH10" si="20">IF(AH9=0,0,IFERROR((((AH9)/(AVERAGE(AI6:AJ6)))*4.3),"∞"))</f>
        <v>3.9796078431372548</v>
      </c>
      <c r="AI10" s="35">
        <f t="shared" ref="AI10" si="21">IF(AI9=0,0,IFERROR((((AI9)/(AVERAGE(AJ6:AK6)))*4.3),"∞"))</f>
        <v>6.559607843137254</v>
      </c>
      <c r="AJ10" s="35">
        <f t="shared" ref="AJ10" si="22">IF(AJ9=0,0,IFERROR((((AJ9)/(AVERAGE(AK6:AL6)))*4.3),"∞"))</f>
        <v>9.1396078431372541</v>
      </c>
      <c r="AK10" s="35">
        <f t="shared" ref="AK10" si="23">IF(AK9=0,0,IFERROR((((AK9)/(AVERAGE(AL6:AM6)))*4.3),"∞"))</f>
        <v>9.9996078431372553</v>
      </c>
      <c r="AL10" s="35">
        <f t="shared" ref="AL10" si="24">IF(AL9=0,0,IFERROR((((AL9)/(AVERAGE(AM6:AN6)))*4.3),"∞"))</f>
        <v>11.110675381263615</v>
      </c>
      <c r="AM10" s="35">
        <f>IF(AM9=0,0,IFERROR((((AM9)/(AVERAGE(AN6,AP6)))*4.3),"∞"))</f>
        <v>12.499509803921567</v>
      </c>
      <c r="AN10" s="35" t="str">
        <f>IF(AN9=0,0,IFERROR((((AN9)/(AVERAGE(AP6:AQ6)))*4.3),"∞"))</f>
        <v>∞</v>
      </c>
      <c r="AO10" s="36"/>
    </row>
    <row r="11" spans="1:41" s="23" customFormat="1" ht="15" thickBot="1" x14ac:dyDescent="0.4">
      <c r="A11" s="22"/>
      <c r="C11" s="74"/>
      <c r="D11" s="74"/>
      <c r="E11" s="74"/>
      <c r="F11" s="74"/>
      <c r="G11" s="74"/>
      <c r="H11" s="74"/>
      <c r="I11" s="74"/>
      <c r="J11" s="74"/>
      <c r="K11" s="24"/>
      <c r="L11" s="24"/>
      <c r="M11" s="24"/>
      <c r="N11" s="24"/>
      <c r="O11" s="25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5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5"/>
    </row>
    <row r="12" spans="1:41" ht="14.5" customHeight="1" x14ac:dyDescent="0.35">
      <c r="A12" s="162" t="str">
        <f>'IMS vs FRCST'!B9</f>
        <v>Al Fakher Grapes 250g</v>
      </c>
      <c r="B12" s="21" t="s">
        <v>53</v>
      </c>
      <c r="C12" s="70">
        <v>0</v>
      </c>
      <c r="D12" s="70">
        <f t="shared" ref="D12:N12" si="25">C17</f>
        <v>0</v>
      </c>
      <c r="E12" s="70">
        <f t="shared" si="25"/>
        <v>90</v>
      </c>
      <c r="F12" s="70">
        <f t="shared" si="25"/>
        <v>179</v>
      </c>
      <c r="G12" s="70">
        <f t="shared" si="25"/>
        <v>0</v>
      </c>
      <c r="H12" s="70">
        <f t="shared" si="25"/>
        <v>0</v>
      </c>
      <c r="I12" s="70">
        <f t="shared" si="25"/>
        <v>58</v>
      </c>
      <c r="J12" s="70">
        <f t="shared" si="25"/>
        <v>0</v>
      </c>
      <c r="K12" s="32">
        <f t="shared" si="25"/>
        <v>0</v>
      </c>
      <c r="L12" s="32">
        <f t="shared" si="25"/>
        <v>37</v>
      </c>
      <c r="M12" s="32">
        <f t="shared" si="25"/>
        <v>173</v>
      </c>
      <c r="N12" s="32">
        <f t="shared" si="25"/>
        <v>3</v>
      </c>
      <c r="O12" s="33"/>
      <c r="P12" s="32">
        <f>N17</f>
        <v>262</v>
      </c>
      <c r="Q12" s="32">
        <f>P17</f>
        <v>28</v>
      </c>
      <c r="R12" s="32">
        <f t="shared" ref="R12:AA12" si="26">Q17</f>
        <v>368</v>
      </c>
      <c r="S12" s="32">
        <f t="shared" si="26"/>
        <v>699</v>
      </c>
      <c r="T12" s="32">
        <f t="shared" si="26"/>
        <v>599</v>
      </c>
      <c r="U12" s="32">
        <f t="shared" si="26"/>
        <v>599</v>
      </c>
      <c r="V12" s="32">
        <f t="shared" si="26"/>
        <v>549</v>
      </c>
      <c r="W12" s="32">
        <f t="shared" si="26"/>
        <v>549</v>
      </c>
      <c r="X12" s="32">
        <f t="shared" si="26"/>
        <v>349</v>
      </c>
      <c r="Y12" s="32">
        <f t="shared" si="26"/>
        <v>149</v>
      </c>
      <c r="Z12" s="32">
        <f t="shared" si="26"/>
        <v>199</v>
      </c>
      <c r="AA12" s="32">
        <f t="shared" si="26"/>
        <v>199</v>
      </c>
      <c r="AB12" s="33"/>
      <c r="AC12" s="32">
        <f>AA17</f>
        <v>249</v>
      </c>
      <c r="AD12" s="32">
        <f>AC17</f>
        <v>124</v>
      </c>
      <c r="AE12" s="32">
        <f t="shared" ref="AE12" si="27">AD17</f>
        <v>51.5</v>
      </c>
      <c r="AF12" s="32">
        <f t="shared" ref="AF12" si="28">AE17</f>
        <v>0.5</v>
      </c>
      <c r="AG12" s="32">
        <f t="shared" ref="AG12" si="29">AF17</f>
        <v>-101.5</v>
      </c>
      <c r="AH12" s="32">
        <f t="shared" ref="AH12" si="30">AG17</f>
        <v>-203.5</v>
      </c>
      <c r="AI12" s="32">
        <f t="shared" ref="AI12" si="31">AH17</f>
        <v>-305.5</v>
      </c>
      <c r="AJ12" s="32">
        <f t="shared" ref="AJ12" si="32">AI17</f>
        <v>-305.5</v>
      </c>
      <c r="AK12" s="32">
        <f t="shared" ref="AK12" si="33">AJ17</f>
        <v>-305.5</v>
      </c>
      <c r="AL12" s="32">
        <f t="shared" ref="AL12" si="34">AK17</f>
        <v>-356.5</v>
      </c>
      <c r="AM12" s="32">
        <f t="shared" ref="AM12" si="35">AL17</f>
        <v>-433</v>
      </c>
      <c r="AN12" s="32">
        <f t="shared" ref="AN12" si="36">AM17</f>
        <v>-509.5</v>
      </c>
      <c r="AO12" s="33"/>
    </row>
    <row r="13" spans="1:41" x14ac:dyDescent="0.35">
      <c r="A13" s="163"/>
      <c r="B13" s="4" t="s">
        <v>54</v>
      </c>
      <c r="C13" s="71"/>
      <c r="D13" s="71"/>
      <c r="E13" s="71"/>
      <c r="F13" s="71"/>
      <c r="G13" s="71"/>
      <c r="H13" s="71"/>
      <c r="I13" s="71"/>
      <c r="J13" s="71"/>
      <c r="K13" s="27"/>
      <c r="L13" s="27"/>
      <c r="M13" s="27"/>
      <c r="N13" s="27"/>
      <c r="O13" s="26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6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6"/>
    </row>
    <row r="14" spans="1:41" s="6" customFormat="1" x14ac:dyDescent="0.35">
      <c r="A14" s="163"/>
      <c r="B14" s="42" t="s">
        <v>55</v>
      </c>
      <c r="C14" s="44">
        <f>'IMS vs FRCST'!C9</f>
        <v>0</v>
      </c>
      <c r="D14" s="44">
        <f>'IMS vs FRCST'!D9</f>
        <v>411</v>
      </c>
      <c r="E14" s="44">
        <f>'IMS vs FRCST'!E9</f>
        <v>381</v>
      </c>
      <c r="F14" s="44">
        <f>'IMS vs FRCST'!F9</f>
        <v>179</v>
      </c>
      <c r="G14" s="44">
        <f>'IMS vs FRCST'!G9</f>
        <v>0</v>
      </c>
      <c r="H14" s="44">
        <f>'IMS vs FRCST'!H9</f>
        <v>331</v>
      </c>
      <c r="I14" s="44">
        <f>'IMS vs FRCST'!I9</f>
        <v>58</v>
      </c>
      <c r="J14" s="44">
        <f>'IMS vs FRCST'!J9</f>
        <v>0</v>
      </c>
      <c r="K14" s="43">
        <f>'IMS vs FRCST'!K9</f>
        <v>463</v>
      </c>
      <c r="L14" s="43">
        <f>'IMS vs FRCST'!L9</f>
        <v>343</v>
      </c>
      <c r="M14" s="43">
        <f>'IMS vs FRCST'!M9</f>
        <v>170</v>
      </c>
      <c r="N14" s="43">
        <f>'IMS vs FRCST'!N9</f>
        <v>31</v>
      </c>
      <c r="O14" s="26">
        <f>SUM(C14:N14)</f>
        <v>2367</v>
      </c>
      <c r="P14" s="28">
        <f>'IMS vs FRCST'!P9</f>
        <v>234</v>
      </c>
      <c r="Q14" s="28">
        <f>'IMS vs FRCST'!Q9</f>
        <v>48</v>
      </c>
      <c r="R14" s="28">
        <f>'IMS vs FRCST'!R9</f>
        <v>69</v>
      </c>
      <c r="S14" s="28">
        <f>'IMS vs FRCST'!S9</f>
        <v>250</v>
      </c>
      <c r="T14" s="28">
        <f>'IMS vs FRCST'!T9</f>
        <v>250</v>
      </c>
      <c r="U14" s="28">
        <f>'IMS vs FRCST'!U9</f>
        <v>250</v>
      </c>
      <c r="V14" s="28">
        <f>'IMS vs FRCST'!V9</f>
        <v>200</v>
      </c>
      <c r="W14" s="28">
        <f>'IMS vs FRCST'!W9</f>
        <v>200</v>
      </c>
      <c r="X14" s="28">
        <f>'IMS vs FRCST'!X9</f>
        <v>200</v>
      </c>
      <c r="Y14" s="28">
        <f>'IMS vs FRCST'!Y9</f>
        <v>200</v>
      </c>
      <c r="Z14" s="28">
        <f>'IMS vs FRCST'!Z9</f>
        <v>200</v>
      </c>
      <c r="AA14" s="28">
        <f>'IMS vs FRCST'!AA9</f>
        <v>150</v>
      </c>
      <c r="AB14" s="26">
        <f>SUM(P14:AA14)</f>
        <v>2251</v>
      </c>
      <c r="AC14" s="28">
        <f>'IMS vs FRCST'!AC9</f>
        <v>250</v>
      </c>
      <c r="AD14" s="28">
        <f>'IMS vs FRCST'!AD9</f>
        <v>200</v>
      </c>
      <c r="AE14" s="28">
        <f>'IMS vs FRCST'!AE9</f>
        <v>204</v>
      </c>
      <c r="AF14" s="28">
        <f>'IMS vs FRCST'!AF9</f>
        <v>255</v>
      </c>
      <c r="AG14" s="28">
        <f>'IMS vs FRCST'!AG9</f>
        <v>255</v>
      </c>
      <c r="AH14" s="28">
        <f>'IMS vs FRCST'!AH9</f>
        <v>255</v>
      </c>
      <c r="AI14" s="28">
        <f>'IMS vs FRCST'!AI9</f>
        <v>204</v>
      </c>
      <c r="AJ14" s="28">
        <f>'IMS vs FRCST'!AJ9</f>
        <v>204</v>
      </c>
      <c r="AK14" s="28">
        <f>'IMS vs FRCST'!AK9</f>
        <v>204</v>
      </c>
      <c r="AL14" s="28">
        <f>'IMS vs FRCST'!AL9</f>
        <v>204</v>
      </c>
      <c r="AM14" s="28">
        <f>'IMS vs FRCST'!AM9</f>
        <v>204</v>
      </c>
      <c r="AN14" s="28">
        <f>'IMS vs FRCST'!AN9</f>
        <v>153</v>
      </c>
      <c r="AO14" s="26">
        <f>SUM(AC14:AN14)</f>
        <v>2592</v>
      </c>
    </row>
    <row r="15" spans="1:41" x14ac:dyDescent="0.35">
      <c r="A15" s="163"/>
      <c r="B15" s="4" t="s">
        <v>56</v>
      </c>
      <c r="C15" s="71">
        <f>'Shipment (Production)'!G10</f>
        <v>0</v>
      </c>
      <c r="D15" s="71">
        <f>'Shipment (Production)'!L10</f>
        <v>501</v>
      </c>
      <c r="E15" s="71">
        <f>'Shipment (Production)'!Q10</f>
        <v>470</v>
      </c>
      <c r="F15" s="71">
        <f>'Shipment (Production)'!V10</f>
        <v>0</v>
      </c>
      <c r="G15" s="71">
        <f>'Shipment (Production)'!AA10</f>
        <v>0</v>
      </c>
      <c r="H15" s="71">
        <f>'Shipment (Production)'!AF10</f>
        <v>389</v>
      </c>
      <c r="I15" s="71">
        <f>'Shipment (Production)'!AK10</f>
        <v>0</v>
      </c>
      <c r="J15" s="71">
        <f>'Shipment (Production)'!AP10</f>
        <v>500</v>
      </c>
      <c r="K15" s="27">
        <f>'Shipment (Production)'!AU10</f>
        <v>208</v>
      </c>
      <c r="L15" s="27">
        <f>'Shipment (Production)'!AZ10</f>
        <v>271</v>
      </c>
      <c r="M15" s="27">
        <f>'Shipment (Production)'!BE10</f>
        <v>290</v>
      </c>
      <c r="N15" s="27">
        <f>'Shipment (Production)'!BJ10</f>
        <v>0</v>
      </c>
      <c r="O15" s="26">
        <f>SUM(C15:N15)</f>
        <v>2629</v>
      </c>
      <c r="P15" s="27">
        <f>'Shipment (Production)'!BP10</f>
        <v>388</v>
      </c>
      <c r="Q15" s="27">
        <f>'Shipment (Production)'!BU10</f>
        <v>400</v>
      </c>
      <c r="R15" s="27">
        <f>'Shipment (Production)'!BZ10</f>
        <v>150</v>
      </c>
      <c r="S15" s="27">
        <f>'Shipment (Production)'!CE10</f>
        <v>250</v>
      </c>
      <c r="T15" s="27">
        <f>'Shipment (Production)'!CJ10</f>
        <v>200</v>
      </c>
      <c r="U15" s="27">
        <f>'Shipment (Production)'!CO10</f>
        <v>200</v>
      </c>
      <c r="V15" s="27">
        <f>'Shipment (Production)'!CT10</f>
        <v>0</v>
      </c>
      <c r="W15" s="27">
        <f>'Shipment (Production)'!CY10</f>
        <v>0</v>
      </c>
      <c r="X15" s="27">
        <f>'Shipment (Production)'!DD10</f>
        <v>250</v>
      </c>
      <c r="Y15" s="27">
        <f>'Shipment (Production)'!DI10</f>
        <v>200</v>
      </c>
      <c r="Z15" s="27">
        <f>'Shipment (Production)'!DN10</f>
        <v>0</v>
      </c>
      <c r="AA15" s="27">
        <f>'Shipment (Production)'!DS10</f>
        <v>200</v>
      </c>
      <c r="AB15" s="26">
        <f>SUM(P15:AA15)</f>
        <v>2238</v>
      </c>
      <c r="AC15" s="27">
        <f>'Shipment (Production)'!DY10</f>
        <v>250</v>
      </c>
      <c r="AD15" s="27">
        <f>'Shipment (Production)'!ED10</f>
        <v>200</v>
      </c>
      <c r="AE15" s="27">
        <f>'Shipment (Production)'!EI10</f>
        <v>204</v>
      </c>
      <c r="AF15" s="27">
        <f>'Shipment (Production)'!EN10</f>
        <v>306</v>
      </c>
      <c r="AG15" s="27">
        <f>'Shipment (Production)'!ES10</f>
        <v>357</v>
      </c>
      <c r="AH15" s="27">
        <f>'Shipment (Production)'!EX10</f>
        <v>357</v>
      </c>
      <c r="AI15" s="27">
        <f>'Shipment (Production)'!FC10</f>
        <v>306</v>
      </c>
      <c r="AJ15" s="27">
        <f>'Shipment (Production)'!FH10</f>
        <v>306</v>
      </c>
      <c r="AK15" s="27">
        <f>'Shipment (Production)'!FM10</f>
        <v>255</v>
      </c>
      <c r="AL15" s="27">
        <f>'Shipment (Production)'!FR10</f>
        <v>204</v>
      </c>
      <c r="AM15" s="27">
        <f>'Shipment (Production)'!FW10</f>
        <v>204</v>
      </c>
      <c r="AN15" s="27">
        <f>'Shipment (Production)'!GB10</f>
        <v>204</v>
      </c>
      <c r="AO15" s="26">
        <f>SUM(AC15:AN15)</f>
        <v>3153</v>
      </c>
    </row>
    <row r="16" spans="1:41" x14ac:dyDescent="0.35">
      <c r="A16" s="163"/>
      <c r="B16" s="4" t="s">
        <v>57</v>
      </c>
      <c r="C16" s="71">
        <f>'Arrival to Regie'!G10</f>
        <v>0</v>
      </c>
      <c r="D16" s="71">
        <f>'Arrival to Regie'!L10</f>
        <v>501</v>
      </c>
      <c r="E16" s="71">
        <f>'Arrival to Regie'!Q10</f>
        <v>470</v>
      </c>
      <c r="F16" s="71">
        <f>'Arrival to Regie'!V10</f>
        <v>0</v>
      </c>
      <c r="G16" s="71">
        <f>'Arrival to Regie'!AA10</f>
        <v>0</v>
      </c>
      <c r="H16" s="71">
        <f>'Arrival to Regie'!AF10</f>
        <v>389</v>
      </c>
      <c r="I16" s="71">
        <f>'Arrival to Regie'!AK10</f>
        <v>0</v>
      </c>
      <c r="J16" s="71">
        <f>'Arrival to Regie'!AP10</f>
        <v>0</v>
      </c>
      <c r="K16" s="27">
        <f>'Arrival to Regie'!AU10</f>
        <v>500</v>
      </c>
      <c r="L16" s="27">
        <f>'Arrival to Regie'!AZ10</f>
        <v>479</v>
      </c>
      <c r="M16" s="27">
        <f>'Arrival to Regie'!BE10</f>
        <v>0</v>
      </c>
      <c r="N16" s="27">
        <f>'Arrival to Regie'!BJ10</f>
        <v>290</v>
      </c>
      <c r="O16" s="26">
        <f>SUM(C16:N16)</f>
        <v>2629</v>
      </c>
      <c r="P16" s="27">
        <f>'Arrival to Regie'!BP10</f>
        <v>0</v>
      </c>
      <c r="Q16" s="27">
        <f>'Arrival to Regie'!BU10</f>
        <v>388</v>
      </c>
      <c r="R16" s="27">
        <f>'Arrival to Regie'!BZ10</f>
        <v>400</v>
      </c>
      <c r="S16" s="27">
        <f>'Arrival to Regie'!CE10</f>
        <v>150</v>
      </c>
      <c r="T16" s="27">
        <f>'Arrival to Regie'!CJ10</f>
        <v>250</v>
      </c>
      <c r="U16" s="27">
        <f>'Arrival to Regie'!CO10</f>
        <v>200</v>
      </c>
      <c r="V16" s="27">
        <f>'Arrival to Regie'!CT10</f>
        <v>200</v>
      </c>
      <c r="W16" s="27">
        <f>'Arrival to Regie'!CY10</f>
        <v>0</v>
      </c>
      <c r="X16" s="27">
        <f>'Arrival to Regie'!DD10</f>
        <v>0</v>
      </c>
      <c r="Y16" s="27">
        <f>'Arrival to Regie'!DI10</f>
        <v>250</v>
      </c>
      <c r="Z16" s="27">
        <f>'Arrival to Regie'!DN10</f>
        <v>200</v>
      </c>
      <c r="AA16" s="27">
        <f>'Arrival to Regie'!DS10</f>
        <v>200</v>
      </c>
      <c r="AB16" s="26">
        <f>SUM(P16:AA16)</f>
        <v>2238</v>
      </c>
      <c r="AC16" s="27">
        <f>'Arrival to Regie'!DY9</f>
        <v>125</v>
      </c>
      <c r="AD16" s="27">
        <f>'Arrival to Regie'!EI9</f>
        <v>127.5</v>
      </c>
      <c r="AE16" s="27">
        <f>'Arrival to Regie'!EN9</f>
        <v>153</v>
      </c>
      <c r="AF16" s="27">
        <f>'Arrival to Regie'!ES9</f>
        <v>153</v>
      </c>
      <c r="AG16" s="27">
        <f>'Arrival to Regie'!ES9</f>
        <v>153</v>
      </c>
      <c r="AH16" s="27">
        <f>'Arrival to Regie'!EX9</f>
        <v>153</v>
      </c>
      <c r="AI16" s="27">
        <f>'Arrival to Regie'!FC9</f>
        <v>204</v>
      </c>
      <c r="AJ16" s="27">
        <f>'Arrival to Regie'!FH9</f>
        <v>204</v>
      </c>
      <c r="AK16" s="27">
        <f>'Arrival to Regie'!FM9</f>
        <v>153</v>
      </c>
      <c r="AL16" s="27">
        <f>'Arrival to Regie'!FR9</f>
        <v>127.5</v>
      </c>
      <c r="AM16" s="27">
        <f>'Arrival to Regie'!FW9</f>
        <v>127.5</v>
      </c>
      <c r="AN16" s="27">
        <f>'Arrival to Regie'!GB9</f>
        <v>127.5</v>
      </c>
      <c r="AO16" s="26">
        <f>SUM(AC16:AN16)</f>
        <v>1808</v>
      </c>
    </row>
    <row r="17" spans="1:41" x14ac:dyDescent="0.35">
      <c r="A17" s="163"/>
      <c r="B17" s="47" t="s">
        <v>58</v>
      </c>
      <c r="C17" s="72">
        <f t="shared" ref="C17:AA17" si="37">C12+C13+C16-C14</f>
        <v>0</v>
      </c>
      <c r="D17" s="72">
        <f t="shared" si="37"/>
        <v>90</v>
      </c>
      <c r="E17" s="72">
        <f t="shared" si="37"/>
        <v>179</v>
      </c>
      <c r="F17" s="72">
        <f t="shared" si="37"/>
        <v>0</v>
      </c>
      <c r="G17" s="72">
        <f t="shared" si="37"/>
        <v>0</v>
      </c>
      <c r="H17" s="72">
        <f t="shared" si="37"/>
        <v>58</v>
      </c>
      <c r="I17" s="72">
        <f t="shared" si="37"/>
        <v>0</v>
      </c>
      <c r="J17" s="72">
        <f t="shared" si="37"/>
        <v>0</v>
      </c>
      <c r="K17" s="48">
        <f t="shared" si="37"/>
        <v>37</v>
      </c>
      <c r="L17" s="48">
        <f t="shared" si="37"/>
        <v>173</v>
      </c>
      <c r="M17" s="48">
        <f t="shared" si="37"/>
        <v>3</v>
      </c>
      <c r="N17" s="48">
        <f t="shared" si="37"/>
        <v>262</v>
      </c>
      <c r="O17" s="26"/>
      <c r="P17" s="48">
        <f t="shared" si="37"/>
        <v>28</v>
      </c>
      <c r="Q17" s="48">
        <f t="shared" si="37"/>
        <v>368</v>
      </c>
      <c r="R17" s="48">
        <f t="shared" si="37"/>
        <v>699</v>
      </c>
      <c r="S17" s="48">
        <f t="shared" si="37"/>
        <v>599</v>
      </c>
      <c r="T17" s="48">
        <f t="shared" si="37"/>
        <v>599</v>
      </c>
      <c r="U17" s="48">
        <f t="shared" si="37"/>
        <v>549</v>
      </c>
      <c r="V17" s="48">
        <f t="shared" si="37"/>
        <v>549</v>
      </c>
      <c r="W17" s="48">
        <f t="shared" si="37"/>
        <v>349</v>
      </c>
      <c r="X17" s="48">
        <f t="shared" si="37"/>
        <v>149</v>
      </c>
      <c r="Y17" s="48">
        <f t="shared" si="37"/>
        <v>199</v>
      </c>
      <c r="Z17" s="48">
        <f t="shared" si="37"/>
        <v>199</v>
      </c>
      <c r="AA17" s="48">
        <f t="shared" si="37"/>
        <v>249</v>
      </c>
      <c r="AB17" s="26"/>
      <c r="AC17" s="48">
        <f t="shared" ref="AC17:AN17" si="38">AC12+AC13+AC16-AC14</f>
        <v>124</v>
      </c>
      <c r="AD17" s="48">
        <f t="shared" si="38"/>
        <v>51.5</v>
      </c>
      <c r="AE17" s="48">
        <f t="shared" si="38"/>
        <v>0.5</v>
      </c>
      <c r="AF17" s="48">
        <f t="shared" si="38"/>
        <v>-101.5</v>
      </c>
      <c r="AG17" s="48">
        <f t="shared" si="38"/>
        <v>-203.5</v>
      </c>
      <c r="AH17" s="48">
        <f t="shared" si="38"/>
        <v>-305.5</v>
      </c>
      <c r="AI17" s="48">
        <f t="shared" si="38"/>
        <v>-305.5</v>
      </c>
      <c r="AJ17" s="48">
        <f t="shared" si="38"/>
        <v>-305.5</v>
      </c>
      <c r="AK17" s="48">
        <f t="shared" si="38"/>
        <v>-356.5</v>
      </c>
      <c r="AL17" s="48">
        <f t="shared" si="38"/>
        <v>-433</v>
      </c>
      <c r="AM17" s="48">
        <f t="shared" si="38"/>
        <v>-509.5</v>
      </c>
      <c r="AN17" s="48">
        <f t="shared" si="38"/>
        <v>-535</v>
      </c>
      <c r="AO17" s="26"/>
    </row>
    <row r="18" spans="1:41" ht="15" thickBot="1" x14ac:dyDescent="0.4">
      <c r="A18" s="164"/>
      <c r="B18" s="34" t="s">
        <v>59</v>
      </c>
      <c r="C18" s="35">
        <f>IF(C17=0,0,IFERROR((((C17)/(AVERAGE(D14:E14)))*4.3),"∞"))</f>
        <v>0</v>
      </c>
      <c r="D18" s="35">
        <f t="shared" ref="D18:L18" si="39">IF(D17=0,0,IFERROR((((D17)/(AVERAGE(E14:F14)))*4.3),"∞"))</f>
        <v>1.3821428571428571</v>
      </c>
      <c r="E18" s="35">
        <f t="shared" si="39"/>
        <v>8.6</v>
      </c>
      <c r="F18" s="35">
        <f t="shared" si="39"/>
        <v>0</v>
      </c>
      <c r="G18" s="35">
        <f t="shared" si="39"/>
        <v>0</v>
      </c>
      <c r="H18" s="35">
        <f t="shared" si="39"/>
        <v>8.6</v>
      </c>
      <c r="I18" s="35">
        <f t="shared" si="39"/>
        <v>0</v>
      </c>
      <c r="J18" s="35">
        <f t="shared" si="39"/>
        <v>0</v>
      </c>
      <c r="K18" s="35">
        <f t="shared" si="39"/>
        <v>0.62027290448343075</v>
      </c>
      <c r="L18" s="35">
        <f t="shared" si="39"/>
        <v>7.4019900497512436</v>
      </c>
      <c r="M18" s="35">
        <f>IF(M17=0,0,IFERROR((((M17)/(AVERAGE(N14,P14)))*4.3),"∞"))</f>
        <v>9.7358490566037723E-2</v>
      </c>
      <c r="N18" s="35">
        <f>IF(N17=0,0,IFERROR((((N17)/(AVERAGE(P14:Q14)))*4.3),"∞"))</f>
        <v>7.990070921985815</v>
      </c>
      <c r="O18" s="36"/>
      <c r="P18" s="35">
        <f>IF(P17=0,0,IFERROR((((P17)/(AVERAGE(Q14:R14)))*4.3),"∞"))</f>
        <v>2.0581196581196579</v>
      </c>
      <c r="Q18" s="35">
        <f t="shared" ref="Q18:Y18" si="40">IF(Q17=0,0,IFERROR((((Q17)/(AVERAGE(R14:S14)))*4.3),"∞"))</f>
        <v>9.9210031347962389</v>
      </c>
      <c r="R18" s="35">
        <f t="shared" si="40"/>
        <v>12.022799999999998</v>
      </c>
      <c r="S18" s="35">
        <f t="shared" si="40"/>
        <v>10.3028</v>
      </c>
      <c r="T18" s="35">
        <f t="shared" si="40"/>
        <v>11.447555555555555</v>
      </c>
      <c r="U18" s="35">
        <f t="shared" si="40"/>
        <v>11.8035</v>
      </c>
      <c r="V18" s="35">
        <f t="shared" si="40"/>
        <v>11.8035</v>
      </c>
      <c r="W18" s="35">
        <f t="shared" si="40"/>
        <v>7.5034999999999998</v>
      </c>
      <c r="X18" s="35">
        <f t="shared" si="40"/>
        <v>3.2035</v>
      </c>
      <c r="Y18" s="35">
        <f t="shared" si="40"/>
        <v>4.8897142857142857</v>
      </c>
      <c r="Z18" s="35">
        <f>IF(Z17=0,0,IFERROR((((Z17)/(AVERAGE(AA14,AC14)))*4.3),"∞"))</f>
        <v>4.2785000000000002</v>
      </c>
      <c r="AA18" s="35">
        <f>IF(AA17=0,0,IFERROR((((AA17)/(AVERAGE(AC14:AD14)))*4.3),"∞"))</f>
        <v>4.7586666666666666</v>
      </c>
      <c r="AB18" s="36"/>
      <c r="AC18" s="35">
        <f>IF(AC17=0,0,IFERROR((((AC17)/(AVERAGE(AD14:AE14)))*4.3),"∞"))</f>
        <v>2.6396039603960393</v>
      </c>
      <c r="AD18" s="35">
        <f t="shared" ref="AD18" si="41">IF(AD17=0,0,IFERROR((((AD17)/(AVERAGE(AE14:AF14)))*4.3),"∞"))</f>
        <v>0.96492374727668839</v>
      </c>
      <c r="AE18" s="35">
        <f t="shared" ref="AE18" si="42">IF(AE17=0,0,IFERROR((((AE17)/(AVERAGE(AF14:AG14)))*4.3),"∞"))</f>
        <v>8.431372549019607E-3</v>
      </c>
      <c r="AF18" s="35">
        <f t="shared" ref="AF18" si="43">IF(AF17=0,0,IFERROR((((AF17)/(AVERAGE(AG14:AH14)))*4.3),"∞"))</f>
        <v>-1.7115686274509803</v>
      </c>
      <c r="AG18" s="35">
        <f t="shared" ref="AG18" si="44">IF(AG17=0,0,IFERROR((((AG17)/(AVERAGE(AH14:AI14)))*4.3),"∞"))</f>
        <v>-3.8128540305010894</v>
      </c>
      <c r="AH18" s="35">
        <f t="shared" ref="AH18" si="45">IF(AH17=0,0,IFERROR((((AH17)/(AVERAGE(AI14:AJ14)))*4.3),"∞"))</f>
        <v>-6.4394607843137255</v>
      </c>
      <c r="AI18" s="35">
        <f t="shared" ref="AI18" si="46">IF(AI17=0,0,IFERROR((((AI17)/(AVERAGE(AJ14:AK14)))*4.3),"∞"))</f>
        <v>-6.4394607843137255</v>
      </c>
      <c r="AJ18" s="35">
        <f t="shared" ref="AJ18" si="47">IF(AJ17=0,0,IFERROR((((AJ17)/(AVERAGE(AK14:AL14)))*4.3),"∞"))</f>
        <v>-6.4394607843137255</v>
      </c>
      <c r="AK18" s="35">
        <f t="shared" ref="AK18" si="48">IF(AK17=0,0,IFERROR((((AK17)/(AVERAGE(AL14:AM14)))*4.3),"∞"))</f>
        <v>-7.5144607843137257</v>
      </c>
      <c r="AL18" s="35">
        <f t="shared" ref="AL18" si="49">IF(AL17=0,0,IFERROR((((AL17)/(AVERAGE(AM14:AN14)))*4.3),"∞"))</f>
        <v>-10.43081232492997</v>
      </c>
      <c r="AM18" s="35">
        <f>IF(AM17=0,0,IFERROR((((AM17)/(AVERAGE(AN14,AP14)))*4.3),"∞"))</f>
        <v>-14.319281045751634</v>
      </c>
      <c r="AN18" s="35" t="str">
        <f>IF(AN17=0,0,IFERROR((((AN17)/(AVERAGE(AP14:AQ14)))*4.3),"∞"))</f>
        <v>∞</v>
      </c>
      <c r="AO18" s="36"/>
    </row>
    <row r="19" spans="1:41" s="23" customFormat="1" ht="15" thickBot="1" x14ac:dyDescent="0.4">
      <c r="A19" s="22"/>
      <c r="C19" s="74"/>
      <c r="D19" s="74"/>
      <c r="E19" s="74"/>
      <c r="F19" s="74"/>
      <c r="G19" s="74"/>
      <c r="H19" s="74"/>
      <c r="I19" s="74"/>
      <c r="J19" s="74"/>
      <c r="K19" s="24"/>
      <c r="L19" s="24"/>
      <c r="M19" s="24"/>
      <c r="N19" s="24"/>
      <c r="O19" s="25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5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5"/>
    </row>
    <row r="20" spans="1:41" ht="14.5" customHeight="1" x14ac:dyDescent="0.35">
      <c r="A20" s="162" t="str">
        <f>'IMS vs FRCST'!B10</f>
        <v>Al Fakher Lemon Mint 250g</v>
      </c>
      <c r="B20" s="21" t="s">
        <v>53</v>
      </c>
      <c r="C20" s="70">
        <v>0</v>
      </c>
      <c r="D20" s="70">
        <f t="shared" ref="D20:N20" si="50">C25</f>
        <v>0</v>
      </c>
      <c r="E20" s="70">
        <f t="shared" si="50"/>
        <v>118</v>
      </c>
      <c r="F20" s="70">
        <f t="shared" si="50"/>
        <v>527</v>
      </c>
      <c r="G20" s="70">
        <f t="shared" si="50"/>
        <v>294</v>
      </c>
      <c r="H20" s="70">
        <f t="shared" si="50"/>
        <v>150</v>
      </c>
      <c r="I20" s="70">
        <f t="shared" si="50"/>
        <v>120</v>
      </c>
      <c r="J20" s="76">
        <f t="shared" si="50"/>
        <v>487</v>
      </c>
      <c r="K20" s="32">
        <f t="shared" si="50"/>
        <v>217</v>
      </c>
      <c r="L20" s="32">
        <f t="shared" si="50"/>
        <v>120</v>
      </c>
      <c r="M20" s="32">
        <f t="shared" si="50"/>
        <v>238</v>
      </c>
      <c r="N20" s="32">
        <f t="shared" si="50"/>
        <v>120</v>
      </c>
      <c r="O20" s="33"/>
      <c r="P20" s="32">
        <f>N25</f>
        <v>416</v>
      </c>
      <c r="Q20" s="32">
        <f>P25</f>
        <v>51</v>
      </c>
      <c r="R20" s="32">
        <f t="shared" ref="R20:AA20" si="51">Q25</f>
        <v>364</v>
      </c>
      <c r="S20" s="32">
        <f t="shared" si="51"/>
        <v>457</v>
      </c>
      <c r="T20" s="32">
        <f t="shared" si="51"/>
        <v>432</v>
      </c>
      <c r="U20" s="32">
        <f t="shared" si="51"/>
        <v>357</v>
      </c>
      <c r="V20" s="32">
        <f t="shared" si="51"/>
        <v>407</v>
      </c>
      <c r="W20" s="32">
        <f t="shared" si="51"/>
        <v>307</v>
      </c>
      <c r="X20" s="32">
        <f t="shared" si="51"/>
        <v>107</v>
      </c>
      <c r="Y20" s="32">
        <f t="shared" si="51"/>
        <v>127</v>
      </c>
      <c r="Z20" s="32">
        <f t="shared" si="51"/>
        <v>127</v>
      </c>
      <c r="AA20" s="32">
        <f t="shared" si="51"/>
        <v>177</v>
      </c>
      <c r="AB20" s="33"/>
      <c r="AC20" s="32">
        <f>AA25</f>
        <v>327</v>
      </c>
      <c r="AD20" s="32">
        <f>AC25</f>
        <v>327</v>
      </c>
      <c r="AE20" s="32">
        <f t="shared" ref="AE20" si="52">AD25</f>
        <v>330.5</v>
      </c>
      <c r="AF20" s="32">
        <f t="shared" ref="AF20" si="53">AE25</f>
        <v>356</v>
      </c>
      <c r="AG20" s="32">
        <f t="shared" ref="AG20" si="54">AF25</f>
        <v>381.5</v>
      </c>
      <c r="AH20" s="32">
        <f t="shared" ref="AH20" si="55">AG25</f>
        <v>407</v>
      </c>
      <c r="AI20" s="32">
        <f t="shared" ref="AI20" si="56">AH25</f>
        <v>407</v>
      </c>
      <c r="AJ20" s="32">
        <f t="shared" ref="AJ20" si="57">AI25</f>
        <v>407</v>
      </c>
      <c r="AK20" s="32">
        <f t="shared" ref="AK20" si="58">AJ25</f>
        <v>381.5</v>
      </c>
      <c r="AL20" s="32">
        <f t="shared" ref="AL20" si="59">AK25</f>
        <v>356</v>
      </c>
      <c r="AM20" s="32">
        <f t="shared" ref="AM20" si="60">AL25</f>
        <v>330.5</v>
      </c>
      <c r="AN20" s="32">
        <f t="shared" ref="AN20" si="61">AM25</f>
        <v>330.5</v>
      </c>
      <c r="AO20" s="33"/>
    </row>
    <row r="21" spans="1:41" x14ac:dyDescent="0.35">
      <c r="A21" s="163"/>
      <c r="B21" s="4" t="s">
        <v>54</v>
      </c>
      <c r="C21" s="71"/>
      <c r="D21" s="71"/>
      <c r="E21" s="71"/>
      <c r="F21" s="71"/>
      <c r="G21" s="71"/>
      <c r="H21" s="75">
        <v>120</v>
      </c>
      <c r="I21" s="71"/>
      <c r="J21" s="71"/>
      <c r="K21" s="27"/>
      <c r="L21" s="27"/>
      <c r="M21" s="27"/>
      <c r="N21" s="27"/>
      <c r="O21" s="26"/>
      <c r="P21" s="27">
        <v>-120</v>
      </c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6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6"/>
    </row>
    <row r="22" spans="1:41" s="6" customFormat="1" x14ac:dyDescent="0.35">
      <c r="A22" s="163"/>
      <c r="B22" s="42" t="s">
        <v>55</v>
      </c>
      <c r="C22" s="44">
        <f>'IMS vs FRCST'!C10</f>
        <v>0</v>
      </c>
      <c r="D22" s="44">
        <f>'IMS vs FRCST'!D10</f>
        <v>2</v>
      </c>
      <c r="E22" s="44">
        <f>'IMS vs FRCST'!E10</f>
        <v>191</v>
      </c>
      <c r="F22" s="44">
        <f>'IMS vs FRCST'!F10</f>
        <v>233</v>
      </c>
      <c r="G22" s="44">
        <f>'IMS vs FRCST'!G10</f>
        <v>144</v>
      </c>
      <c r="H22" s="44">
        <f>'IMS vs FRCST'!H10</f>
        <v>150</v>
      </c>
      <c r="I22" s="44">
        <f>'IMS vs FRCST'!I10</f>
        <v>133</v>
      </c>
      <c r="J22" s="44">
        <f>'IMS vs FRCST'!J10</f>
        <v>270</v>
      </c>
      <c r="K22" s="43">
        <f>'IMS vs FRCST'!K10</f>
        <v>97</v>
      </c>
      <c r="L22" s="43">
        <f>'IMS vs FRCST'!L10</f>
        <v>308</v>
      </c>
      <c r="M22" s="43">
        <f>'IMS vs FRCST'!M10</f>
        <v>118</v>
      </c>
      <c r="N22" s="43">
        <f>'IMS vs FRCST'!N10</f>
        <v>50</v>
      </c>
      <c r="O22" s="26">
        <f>SUM(C22:N22)</f>
        <v>1696</v>
      </c>
      <c r="P22" s="28">
        <f>'IMS vs FRCST'!P10</f>
        <v>245</v>
      </c>
      <c r="Q22" s="28">
        <f>'IMS vs FRCST'!Q10</f>
        <v>119</v>
      </c>
      <c r="R22" s="28">
        <f>'IMS vs FRCST'!R10</f>
        <v>82</v>
      </c>
      <c r="S22" s="28">
        <f>'IMS vs FRCST'!S10</f>
        <v>175</v>
      </c>
      <c r="T22" s="28">
        <f>'IMS vs FRCST'!T10</f>
        <v>175</v>
      </c>
      <c r="U22" s="28">
        <f>'IMS vs FRCST'!U10</f>
        <v>200</v>
      </c>
      <c r="V22" s="28">
        <f>'IMS vs FRCST'!V10</f>
        <v>200</v>
      </c>
      <c r="W22" s="28">
        <f>'IMS vs FRCST'!W10</f>
        <v>200</v>
      </c>
      <c r="X22" s="28">
        <f>'IMS vs FRCST'!X10</f>
        <v>200</v>
      </c>
      <c r="Y22" s="28">
        <f>'IMS vs FRCST'!Y10</f>
        <v>175</v>
      </c>
      <c r="Z22" s="28">
        <f>'IMS vs FRCST'!Z10</f>
        <v>150</v>
      </c>
      <c r="AA22" s="28">
        <f>'IMS vs FRCST'!AA10</f>
        <v>150</v>
      </c>
      <c r="AB22" s="26">
        <f>SUM(P22:AA22)</f>
        <v>2071</v>
      </c>
      <c r="AC22" s="28">
        <f>'IMS vs FRCST'!AC10</f>
        <v>175</v>
      </c>
      <c r="AD22" s="28">
        <f>'IMS vs FRCST'!AD10</f>
        <v>175</v>
      </c>
      <c r="AE22" s="28">
        <f>'IMS vs FRCST'!AE10</f>
        <v>178.5</v>
      </c>
      <c r="AF22" s="28">
        <f>'IMS vs FRCST'!AF10</f>
        <v>178.5</v>
      </c>
      <c r="AG22" s="28">
        <f>'IMS vs FRCST'!AG10</f>
        <v>178.5</v>
      </c>
      <c r="AH22" s="28">
        <f>'IMS vs FRCST'!AH10</f>
        <v>204</v>
      </c>
      <c r="AI22" s="28">
        <f>'IMS vs FRCST'!AI10</f>
        <v>204</v>
      </c>
      <c r="AJ22" s="28">
        <f>'IMS vs FRCST'!AJ10</f>
        <v>204</v>
      </c>
      <c r="AK22" s="28">
        <f>'IMS vs FRCST'!AK10</f>
        <v>204</v>
      </c>
      <c r="AL22" s="28">
        <f>'IMS vs FRCST'!AL10</f>
        <v>178.5</v>
      </c>
      <c r="AM22" s="28">
        <f>'IMS vs FRCST'!AM10</f>
        <v>153</v>
      </c>
      <c r="AN22" s="28">
        <f>'IMS vs FRCST'!AN10</f>
        <v>153</v>
      </c>
      <c r="AO22" s="26">
        <f>SUM(AC22:AN22)</f>
        <v>2186</v>
      </c>
    </row>
    <row r="23" spans="1:41" x14ac:dyDescent="0.35">
      <c r="A23" s="163"/>
      <c r="B23" s="4" t="s">
        <v>56</v>
      </c>
      <c r="C23" s="71">
        <f>'Shipment (Production)'!G11</f>
        <v>0</v>
      </c>
      <c r="D23" s="71">
        <f>'Shipment (Production)'!L11</f>
        <v>120</v>
      </c>
      <c r="E23" s="71">
        <f>'Shipment (Production)'!Q11</f>
        <v>600</v>
      </c>
      <c r="F23" s="71">
        <f>'Shipment (Production)'!V11</f>
        <v>0</v>
      </c>
      <c r="G23" s="71">
        <f>'Shipment (Production)'!AA11</f>
        <v>0</v>
      </c>
      <c r="H23" s="71">
        <f>'Shipment (Production)'!AF11</f>
        <v>0</v>
      </c>
      <c r="I23" s="71">
        <f>'Shipment (Production)'!AK11</f>
        <v>500</v>
      </c>
      <c r="J23" s="71">
        <f>'Shipment (Production)'!AP11</f>
        <v>0</v>
      </c>
      <c r="K23" s="27">
        <f>'Shipment (Production)'!AU11</f>
        <v>203</v>
      </c>
      <c r="L23" s="27">
        <f>'Shipment (Production)'!AZ11</f>
        <v>223</v>
      </c>
      <c r="M23" s="27">
        <f>'Shipment (Production)'!BE11</f>
        <v>200</v>
      </c>
      <c r="N23" s="27">
        <f>'Shipment (Production)'!BJ11</f>
        <v>146</v>
      </c>
      <c r="O23" s="26">
        <f>SUM(C23:N23)</f>
        <v>1992</v>
      </c>
      <c r="P23" s="27">
        <f>'Shipment (Production)'!BP11</f>
        <v>432</v>
      </c>
      <c r="Q23" s="27">
        <f>'Shipment (Production)'!BU11</f>
        <v>175</v>
      </c>
      <c r="R23" s="27">
        <f>'Shipment (Production)'!BZ11</f>
        <v>150</v>
      </c>
      <c r="S23" s="27">
        <f>'Shipment (Production)'!CE11</f>
        <v>100</v>
      </c>
      <c r="T23" s="27">
        <f>'Shipment (Production)'!CJ11</f>
        <v>250</v>
      </c>
      <c r="U23" s="27">
        <f>'Shipment (Production)'!CO11</f>
        <v>100</v>
      </c>
      <c r="V23" s="27">
        <f>'Shipment (Production)'!CT11</f>
        <v>0</v>
      </c>
      <c r="W23" s="27">
        <f>'Shipment (Production)'!CY11</f>
        <v>220</v>
      </c>
      <c r="X23" s="27">
        <f>'Shipment (Production)'!DD11</f>
        <v>175</v>
      </c>
      <c r="Y23" s="27">
        <f>'Shipment (Production)'!DI11</f>
        <v>200</v>
      </c>
      <c r="Z23" s="27">
        <f>'Shipment (Production)'!DN11</f>
        <v>200</v>
      </c>
      <c r="AA23" s="27">
        <f>'Shipment (Production)'!DS11</f>
        <v>100</v>
      </c>
      <c r="AB23" s="26">
        <f>SUM(P23:AA23)</f>
        <v>2102</v>
      </c>
      <c r="AC23" s="27">
        <f>'Shipment (Production)'!DY11</f>
        <v>175</v>
      </c>
      <c r="AD23" s="27">
        <f>'Shipment (Production)'!ED11</f>
        <v>175</v>
      </c>
      <c r="AE23" s="27">
        <f>'Shipment (Production)'!EI11</f>
        <v>178.5</v>
      </c>
      <c r="AF23" s="27">
        <f>'Shipment (Production)'!EN11</f>
        <v>204</v>
      </c>
      <c r="AG23" s="27">
        <f>'Shipment (Production)'!ES11</f>
        <v>204</v>
      </c>
      <c r="AH23" s="27">
        <f>'Shipment (Production)'!EX11</f>
        <v>204</v>
      </c>
      <c r="AI23" s="27">
        <f>'Shipment (Production)'!FC11</f>
        <v>204</v>
      </c>
      <c r="AJ23" s="27">
        <f>'Shipment (Production)'!FH11</f>
        <v>178.5</v>
      </c>
      <c r="AK23" s="27">
        <f>'Shipment (Production)'!FM11</f>
        <v>178.5</v>
      </c>
      <c r="AL23" s="27">
        <f>'Shipment (Production)'!FR11</f>
        <v>153</v>
      </c>
      <c r="AM23" s="27">
        <f>'Shipment (Production)'!FW11</f>
        <v>153</v>
      </c>
      <c r="AN23" s="27">
        <f>'Shipment (Production)'!GB11</f>
        <v>153</v>
      </c>
      <c r="AO23" s="26">
        <f>SUM(AC23:AN23)</f>
        <v>2160.5</v>
      </c>
    </row>
    <row r="24" spans="1:41" x14ac:dyDescent="0.35">
      <c r="A24" s="163"/>
      <c r="B24" s="4" t="s">
        <v>57</v>
      </c>
      <c r="C24" s="71">
        <f>'Arrival to Regie'!G11</f>
        <v>0</v>
      </c>
      <c r="D24" s="71">
        <f>'Arrival to Regie'!L11</f>
        <v>120</v>
      </c>
      <c r="E24" s="71">
        <f>'Arrival to Regie'!Q11</f>
        <v>600</v>
      </c>
      <c r="F24" s="71">
        <f>'Arrival to Regie'!V11</f>
        <v>0</v>
      </c>
      <c r="G24" s="71">
        <f>'Arrival to Regie'!AA11</f>
        <v>0</v>
      </c>
      <c r="H24" s="71">
        <f>'Arrival to Regie'!AF11</f>
        <v>0</v>
      </c>
      <c r="I24" s="71">
        <f>'Arrival to Regie'!AK11</f>
        <v>500</v>
      </c>
      <c r="J24" s="71">
        <f>'Arrival to Regie'!AP11</f>
        <v>0</v>
      </c>
      <c r="K24" s="27">
        <f>'Arrival to Regie'!AU11</f>
        <v>0</v>
      </c>
      <c r="L24" s="27">
        <f>'Arrival to Regie'!AZ11</f>
        <v>426</v>
      </c>
      <c r="M24" s="27">
        <f>'Arrival to Regie'!BE11</f>
        <v>0</v>
      </c>
      <c r="N24" s="27">
        <f>'Arrival to Regie'!BJ11</f>
        <v>346</v>
      </c>
      <c r="O24" s="26">
        <f>SUM(C24:N24)</f>
        <v>1992</v>
      </c>
      <c r="P24" s="27">
        <f>'Arrival to Regie'!BP11</f>
        <v>0</v>
      </c>
      <c r="Q24" s="27">
        <f>'Arrival to Regie'!BU11</f>
        <v>432</v>
      </c>
      <c r="R24" s="27">
        <f>'Arrival to Regie'!BZ11</f>
        <v>175</v>
      </c>
      <c r="S24" s="27">
        <f>'Arrival to Regie'!CE11</f>
        <v>150</v>
      </c>
      <c r="T24" s="27">
        <f>'Arrival to Regie'!CJ11</f>
        <v>100</v>
      </c>
      <c r="U24" s="27">
        <f>'Arrival to Regie'!CO11</f>
        <v>250</v>
      </c>
      <c r="V24" s="27">
        <f>'Arrival to Regie'!CT11</f>
        <v>100</v>
      </c>
      <c r="W24" s="27">
        <f>'Arrival to Regie'!CY11</f>
        <v>0</v>
      </c>
      <c r="X24" s="27">
        <f>'Arrival to Regie'!DD11</f>
        <v>220</v>
      </c>
      <c r="Y24" s="27">
        <f>'Arrival to Regie'!DI11</f>
        <v>175</v>
      </c>
      <c r="Z24" s="27">
        <f>'Arrival to Regie'!DN11</f>
        <v>200</v>
      </c>
      <c r="AA24" s="27">
        <f>'Arrival to Regie'!DS11</f>
        <v>300</v>
      </c>
      <c r="AB24" s="26">
        <f>SUM(P24:AA24)</f>
        <v>2102</v>
      </c>
      <c r="AC24" s="27">
        <f>'Arrival to Regie'!DY11</f>
        <v>175</v>
      </c>
      <c r="AD24" s="27">
        <f>'Arrival to Regie'!EI11</f>
        <v>178.5</v>
      </c>
      <c r="AE24" s="27">
        <f>'Arrival to Regie'!EN11</f>
        <v>204</v>
      </c>
      <c r="AF24" s="27">
        <f>'Arrival to Regie'!ES11</f>
        <v>204</v>
      </c>
      <c r="AG24" s="27">
        <f>'Arrival to Regie'!ES11</f>
        <v>204</v>
      </c>
      <c r="AH24" s="27">
        <f>'Arrival to Regie'!EX11</f>
        <v>204</v>
      </c>
      <c r="AI24" s="27">
        <f>'Arrival to Regie'!FC11</f>
        <v>204</v>
      </c>
      <c r="AJ24" s="27">
        <f>'Arrival to Regie'!FH11</f>
        <v>178.5</v>
      </c>
      <c r="AK24" s="27">
        <f>'Arrival to Regie'!FM11</f>
        <v>178.5</v>
      </c>
      <c r="AL24" s="27">
        <f>'Arrival to Regie'!FR11</f>
        <v>153</v>
      </c>
      <c r="AM24" s="27">
        <f>'Arrival to Regie'!FW11</f>
        <v>153</v>
      </c>
      <c r="AN24" s="27">
        <f>'Arrival to Regie'!GB11</f>
        <v>153</v>
      </c>
      <c r="AO24" s="26">
        <f>SUM(AC24:AN24)</f>
        <v>2189.5</v>
      </c>
    </row>
    <row r="25" spans="1:41" x14ac:dyDescent="0.35">
      <c r="A25" s="163"/>
      <c r="B25" s="47" t="s">
        <v>58</v>
      </c>
      <c r="C25" s="72">
        <f t="shared" ref="C25:AA25" si="62">C20+C21+C24-C22</f>
        <v>0</v>
      </c>
      <c r="D25" s="72">
        <f t="shared" si="62"/>
        <v>118</v>
      </c>
      <c r="E25" s="72">
        <f t="shared" si="62"/>
        <v>527</v>
      </c>
      <c r="F25" s="72">
        <f t="shared" si="62"/>
        <v>294</v>
      </c>
      <c r="G25" s="72">
        <f t="shared" si="62"/>
        <v>150</v>
      </c>
      <c r="H25" s="72">
        <f t="shared" si="62"/>
        <v>120</v>
      </c>
      <c r="I25" s="72">
        <f t="shared" si="62"/>
        <v>487</v>
      </c>
      <c r="J25" s="72">
        <f t="shared" si="62"/>
        <v>217</v>
      </c>
      <c r="K25" s="48">
        <f t="shared" si="62"/>
        <v>120</v>
      </c>
      <c r="L25" s="48">
        <f t="shared" si="62"/>
        <v>238</v>
      </c>
      <c r="M25" s="48">
        <f t="shared" si="62"/>
        <v>120</v>
      </c>
      <c r="N25" s="48">
        <f t="shared" si="62"/>
        <v>416</v>
      </c>
      <c r="O25" s="26"/>
      <c r="P25" s="48">
        <f t="shared" si="62"/>
        <v>51</v>
      </c>
      <c r="Q25" s="48">
        <f t="shared" si="62"/>
        <v>364</v>
      </c>
      <c r="R25" s="48">
        <f t="shared" si="62"/>
        <v>457</v>
      </c>
      <c r="S25" s="48">
        <f t="shared" si="62"/>
        <v>432</v>
      </c>
      <c r="T25" s="48">
        <f t="shared" si="62"/>
        <v>357</v>
      </c>
      <c r="U25" s="48">
        <f t="shared" si="62"/>
        <v>407</v>
      </c>
      <c r="V25" s="48">
        <f t="shared" si="62"/>
        <v>307</v>
      </c>
      <c r="W25" s="48">
        <f t="shared" si="62"/>
        <v>107</v>
      </c>
      <c r="X25" s="48">
        <f t="shared" si="62"/>
        <v>127</v>
      </c>
      <c r="Y25" s="48">
        <f t="shared" si="62"/>
        <v>127</v>
      </c>
      <c r="Z25" s="48">
        <f t="shared" si="62"/>
        <v>177</v>
      </c>
      <c r="AA25" s="48">
        <f t="shared" si="62"/>
        <v>327</v>
      </c>
      <c r="AB25" s="26"/>
      <c r="AC25" s="48">
        <f t="shared" ref="AC25:AN25" si="63">AC20+AC21+AC24-AC22</f>
        <v>327</v>
      </c>
      <c r="AD25" s="48">
        <f t="shared" si="63"/>
        <v>330.5</v>
      </c>
      <c r="AE25" s="48">
        <f t="shared" si="63"/>
        <v>356</v>
      </c>
      <c r="AF25" s="48">
        <f t="shared" si="63"/>
        <v>381.5</v>
      </c>
      <c r="AG25" s="48">
        <f t="shared" si="63"/>
        <v>407</v>
      </c>
      <c r="AH25" s="48">
        <f t="shared" si="63"/>
        <v>407</v>
      </c>
      <c r="AI25" s="48">
        <f t="shared" si="63"/>
        <v>407</v>
      </c>
      <c r="AJ25" s="48">
        <f t="shared" si="63"/>
        <v>381.5</v>
      </c>
      <c r="AK25" s="48">
        <f t="shared" si="63"/>
        <v>356</v>
      </c>
      <c r="AL25" s="48">
        <f t="shared" si="63"/>
        <v>330.5</v>
      </c>
      <c r="AM25" s="48">
        <f t="shared" si="63"/>
        <v>330.5</v>
      </c>
      <c r="AN25" s="48">
        <f t="shared" si="63"/>
        <v>330.5</v>
      </c>
      <c r="AO25" s="26"/>
    </row>
    <row r="26" spans="1:41" ht="15" thickBot="1" x14ac:dyDescent="0.4">
      <c r="A26" s="164"/>
      <c r="B26" s="34" t="s">
        <v>59</v>
      </c>
      <c r="C26" s="35">
        <f>IF(C25=0,0,IFERROR((((C25)/(AVERAGE(D22:E22)))*4.3),"∞"))</f>
        <v>0</v>
      </c>
      <c r="D26" s="35">
        <f t="shared" ref="D26:L26" si="64">IF(D25=0,0,IFERROR((((D25)/(AVERAGE(E22:F22)))*4.3),"∞"))</f>
        <v>2.3933962264150943</v>
      </c>
      <c r="E26" s="35">
        <f t="shared" si="64"/>
        <v>12.021750663129973</v>
      </c>
      <c r="F26" s="35">
        <f t="shared" si="64"/>
        <v>8.6</v>
      </c>
      <c r="G26" s="35">
        <f t="shared" si="64"/>
        <v>4.5583038869257946</v>
      </c>
      <c r="H26" s="35">
        <f t="shared" si="64"/>
        <v>2.5607940446650121</v>
      </c>
      <c r="I26" s="35">
        <f t="shared" si="64"/>
        <v>11.411989100817438</v>
      </c>
      <c r="J26" s="35">
        <f t="shared" si="64"/>
        <v>4.6079012345679011</v>
      </c>
      <c r="K26" s="35">
        <f t="shared" si="64"/>
        <v>2.4225352112676055</v>
      </c>
      <c r="L26" s="35">
        <f t="shared" si="64"/>
        <v>12.183333333333334</v>
      </c>
      <c r="M26" s="35">
        <f>IF(M25=0,0,IFERROR((((M25)/(AVERAGE(N22,P22)))*4.3),"∞"))</f>
        <v>3.4983050847457626</v>
      </c>
      <c r="N26" s="35">
        <f>IF(N25=0,0,IFERROR((((N25)/(AVERAGE(P22:Q22)))*4.3),"∞"))</f>
        <v>9.8285714285714274</v>
      </c>
      <c r="O26" s="36"/>
      <c r="P26" s="35">
        <f>IF(P25=0,0,IFERROR((((P25)/(AVERAGE(Q22:R22)))*4.3),"∞"))</f>
        <v>2.1820895522388062</v>
      </c>
      <c r="Q26" s="35">
        <f t="shared" ref="Q26:Y26" si="65">IF(Q25=0,0,IFERROR((((Q25)/(AVERAGE(R22:S22)))*4.3),"∞"))</f>
        <v>12.180544747081711</v>
      </c>
      <c r="R26" s="35">
        <f t="shared" si="65"/>
        <v>11.229142857142856</v>
      </c>
      <c r="S26" s="35">
        <f t="shared" si="65"/>
        <v>9.9071999999999996</v>
      </c>
      <c r="T26" s="35">
        <f t="shared" si="65"/>
        <v>7.6754999999999995</v>
      </c>
      <c r="U26" s="35">
        <f t="shared" si="65"/>
        <v>8.7505000000000006</v>
      </c>
      <c r="V26" s="35">
        <f t="shared" si="65"/>
        <v>6.6004999999999994</v>
      </c>
      <c r="W26" s="35">
        <f t="shared" si="65"/>
        <v>2.4538666666666664</v>
      </c>
      <c r="X26" s="35">
        <f t="shared" si="65"/>
        <v>3.3606153846153846</v>
      </c>
      <c r="Y26" s="35">
        <f t="shared" si="65"/>
        <v>3.6406666666666667</v>
      </c>
      <c r="Z26" s="35">
        <f>IF(Z25=0,0,IFERROR((((Z25)/(AVERAGE(AA22,AC22)))*4.3),"∞"))</f>
        <v>4.6836923076923078</v>
      </c>
      <c r="AA26" s="35">
        <f>IF(AA25=0,0,IFERROR((((AA25)/(AVERAGE(AC22:AD22)))*4.3),"∞"))</f>
        <v>8.0348571428571418</v>
      </c>
      <c r="AB26" s="36"/>
      <c r="AC26" s="35">
        <f>IF(AC25=0,0,IFERROR((((AC25)/(AVERAGE(AD22:AE22)))*4.3),"∞"))</f>
        <v>7.9553041018387542</v>
      </c>
      <c r="AD26" s="35">
        <f t="shared" ref="AD26" si="66">IF(AD25=0,0,IFERROR((((AD25)/(AVERAGE(AE22:AF22)))*4.3),"∞"))</f>
        <v>7.9616246498599441</v>
      </c>
      <c r="AE26" s="35">
        <f t="shared" ref="AE26" si="67">IF(AE25=0,0,IFERROR((((AE25)/(AVERAGE(AF22:AG22)))*4.3),"∞"))</f>
        <v>8.575910364145658</v>
      </c>
      <c r="AF26" s="35">
        <f t="shared" ref="AF26" si="68">IF(AF25=0,0,IFERROR((((AF25)/(AVERAGE(AG22:AH22)))*4.3),"∞"))</f>
        <v>8.5775163398692804</v>
      </c>
      <c r="AG26" s="35">
        <f t="shared" ref="AG26" si="69">IF(AG25=0,0,IFERROR((((AG25)/(AVERAGE(AH22:AI22)))*4.3),"∞"))</f>
        <v>8.5789215686274503</v>
      </c>
      <c r="AH26" s="35">
        <f t="shared" ref="AH26" si="70">IF(AH25=0,0,IFERROR((((AH25)/(AVERAGE(AI22:AJ22)))*4.3),"∞"))</f>
        <v>8.5789215686274503</v>
      </c>
      <c r="AI26" s="35">
        <f t="shared" ref="AI26" si="71">IF(AI25=0,0,IFERROR((((AI25)/(AVERAGE(AJ22:AK22)))*4.3),"∞"))</f>
        <v>8.5789215686274503</v>
      </c>
      <c r="AJ26" s="35">
        <f t="shared" ref="AJ26" si="72">IF(AJ25=0,0,IFERROR((((AJ25)/(AVERAGE(AK22:AL22)))*4.3),"∞"))</f>
        <v>8.5775163398692804</v>
      </c>
      <c r="AK26" s="35">
        <f t="shared" ref="AK26" si="73">IF(AK25=0,0,IFERROR((((AK25)/(AVERAGE(AL22:AM22)))*4.3),"∞"))</f>
        <v>9.2355957767722465</v>
      </c>
      <c r="AL26" s="35">
        <f t="shared" ref="AL26" si="74">IF(AL25=0,0,IFERROR((((AL25)/(AVERAGE(AM22:AN22)))*4.3),"∞"))</f>
        <v>9.2885620915032678</v>
      </c>
      <c r="AM26" s="35">
        <f>IF(AM25=0,0,IFERROR((((AM25)/(AVERAGE(AN22,AP22)))*4.3),"∞"))</f>
        <v>9.2885620915032678</v>
      </c>
      <c r="AN26" s="35" t="str">
        <f>IF(AN25=0,0,IFERROR((((AN25)/(AVERAGE(AP22:AQ22)))*4.3),"∞"))</f>
        <v>∞</v>
      </c>
      <c r="AO26" s="36"/>
    </row>
    <row r="27" spans="1:41" s="23" customFormat="1" ht="15" thickBot="1" x14ac:dyDescent="0.4">
      <c r="A27" s="22"/>
      <c r="C27" s="74"/>
      <c r="D27" s="74"/>
      <c r="E27" s="74"/>
      <c r="F27" s="74"/>
      <c r="G27" s="74"/>
      <c r="H27" s="74"/>
      <c r="I27" s="74"/>
      <c r="J27" s="74"/>
      <c r="K27" s="24"/>
      <c r="L27" s="24"/>
      <c r="M27" s="24"/>
      <c r="N27" s="24"/>
      <c r="O27" s="25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5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5"/>
    </row>
    <row r="28" spans="1:41" ht="14.5" customHeight="1" x14ac:dyDescent="0.35">
      <c r="A28" s="162" t="str">
        <f>'IMS vs FRCST'!B11</f>
        <v>Al Fakher Two apple 250g</v>
      </c>
      <c r="B28" s="21" t="s">
        <v>53</v>
      </c>
      <c r="C28" s="70">
        <v>0</v>
      </c>
      <c r="D28" s="70">
        <f t="shared" ref="D28:N28" si="75">C33</f>
        <v>77</v>
      </c>
      <c r="E28" s="70">
        <f t="shared" si="75"/>
        <v>926</v>
      </c>
      <c r="F28" s="70">
        <f t="shared" si="75"/>
        <v>1024</v>
      </c>
      <c r="G28" s="70">
        <f t="shared" si="75"/>
        <v>0</v>
      </c>
      <c r="H28" s="70">
        <f t="shared" si="75"/>
        <v>0</v>
      </c>
      <c r="I28" s="70">
        <f t="shared" si="75"/>
        <v>998</v>
      </c>
      <c r="J28" s="70">
        <f t="shared" si="75"/>
        <v>2624</v>
      </c>
      <c r="K28" s="32">
        <f t="shared" si="75"/>
        <v>107</v>
      </c>
      <c r="L28" s="32">
        <f t="shared" si="75"/>
        <v>1675</v>
      </c>
      <c r="M28" s="32">
        <f t="shared" si="75"/>
        <v>2260</v>
      </c>
      <c r="N28" s="32">
        <f t="shared" si="75"/>
        <v>269</v>
      </c>
      <c r="O28" s="33"/>
      <c r="P28" s="32">
        <f>N33</f>
        <v>2436</v>
      </c>
      <c r="Q28" s="32">
        <f>P33</f>
        <v>2011</v>
      </c>
      <c r="R28" s="32">
        <f t="shared" ref="R28:AA28" si="76">Q33</f>
        <v>3863</v>
      </c>
      <c r="S28" s="32">
        <f t="shared" si="76"/>
        <v>5686</v>
      </c>
      <c r="T28" s="32">
        <f t="shared" si="76"/>
        <v>6186</v>
      </c>
      <c r="U28" s="32">
        <f t="shared" si="76"/>
        <v>7186</v>
      </c>
      <c r="V28" s="32">
        <f t="shared" si="76"/>
        <v>7186</v>
      </c>
      <c r="W28" s="32">
        <f t="shared" si="76"/>
        <v>6686</v>
      </c>
      <c r="X28" s="32">
        <f t="shared" si="76"/>
        <v>5686</v>
      </c>
      <c r="Y28" s="32">
        <f t="shared" si="76"/>
        <v>6186</v>
      </c>
      <c r="Z28" s="32">
        <f t="shared" si="76"/>
        <v>6686</v>
      </c>
      <c r="AA28" s="32">
        <f t="shared" si="76"/>
        <v>7686</v>
      </c>
      <c r="AB28" s="33"/>
      <c r="AC28" s="32">
        <f>AA33</f>
        <v>7186</v>
      </c>
      <c r="AD28" s="32">
        <f>AC33</f>
        <v>7186</v>
      </c>
      <c r="AE28" s="32">
        <f t="shared" ref="AE28" si="77">AD33</f>
        <v>7286</v>
      </c>
      <c r="AF28" s="32">
        <f t="shared" ref="AF28" si="78">AE33</f>
        <v>6776</v>
      </c>
      <c r="AG28" s="32">
        <f t="shared" ref="AG28" si="79">AF33</f>
        <v>6776</v>
      </c>
      <c r="AH28" s="32">
        <f t="shared" ref="AH28" si="80">AG33</f>
        <v>6776</v>
      </c>
      <c r="AI28" s="32">
        <f t="shared" ref="AI28" si="81">AH33</f>
        <v>6776</v>
      </c>
      <c r="AJ28" s="32">
        <f t="shared" ref="AJ28" si="82">AI33</f>
        <v>6266</v>
      </c>
      <c r="AK28" s="32">
        <f t="shared" ref="AK28" si="83">AJ33</f>
        <v>5756</v>
      </c>
      <c r="AL28" s="32">
        <f t="shared" ref="AL28" si="84">AK33</f>
        <v>6776</v>
      </c>
      <c r="AM28" s="32">
        <f t="shared" ref="AM28" si="85">AL33</f>
        <v>6776</v>
      </c>
      <c r="AN28" s="32">
        <f t="shared" ref="AN28" si="86">AM33</f>
        <v>6776</v>
      </c>
      <c r="AO28" s="33"/>
    </row>
    <row r="29" spans="1:41" x14ac:dyDescent="0.35">
      <c r="A29" s="163"/>
      <c r="B29" s="4" t="s">
        <v>54</v>
      </c>
      <c r="C29" s="71"/>
      <c r="D29" s="71"/>
      <c r="E29" s="71"/>
      <c r="F29" s="71"/>
      <c r="G29" s="71"/>
      <c r="H29" s="71"/>
      <c r="I29" s="71"/>
      <c r="J29" s="71"/>
      <c r="K29" s="27"/>
      <c r="L29" s="27"/>
      <c r="M29" s="27"/>
      <c r="N29" s="27"/>
      <c r="O29" s="26"/>
      <c r="P29" s="27">
        <v>-5</v>
      </c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6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6"/>
    </row>
    <row r="30" spans="1:41" s="6" customFormat="1" x14ac:dyDescent="0.35">
      <c r="A30" s="163"/>
      <c r="B30" s="42" t="s">
        <v>55</v>
      </c>
      <c r="C30" s="44">
        <f>'IMS vs FRCST'!C11</f>
        <v>3023</v>
      </c>
      <c r="D30" s="44">
        <f>'IMS vs FRCST'!D11</f>
        <v>2253</v>
      </c>
      <c r="E30" s="44">
        <f>'IMS vs FRCST'!E11</f>
        <v>2242</v>
      </c>
      <c r="F30" s="44">
        <f>'IMS vs FRCST'!F11</f>
        <v>4299</v>
      </c>
      <c r="G30" s="44">
        <f>'IMS vs FRCST'!G11</f>
        <v>0</v>
      </c>
      <c r="H30" s="44">
        <f>'IMS vs FRCST'!H11</f>
        <v>2351</v>
      </c>
      <c r="I30" s="44">
        <f>'IMS vs FRCST'!I11</f>
        <v>998</v>
      </c>
      <c r="J30" s="44">
        <f>'IMS vs FRCST'!J11</f>
        <v>6457</v>
      </c>
      <c r="K30" s="43">
        <f>'IMS vs FRCST'!K11</f>
        <v>3376</v>
      </c>
      <c r="L30" s="43">
        <f>'IMS vs FRCST'!L11</f>
        <v>4915</v>
      </c>
      <c r="M30" s="43">
        <f>'IMS vs FRCST'!M11</f>
        <v>7421</v>
      </c>
      <c r="N30" s="43">
        <f>'IMS vs FRCST'!N11</f>
        <v>0</v>
      </c>
      <c r="O30" s="26">
        <f>SUM(C30:N30)</f>
        <v>37335</v>
      </c>
      <c r="P30" s="28">
        <f>'IMS vs FRCST'!P11</f>
        <v>6920</v>
      </c>
      <c r="Q30" s="28">
        <f>'IMS vs FRCST'!Q11</f>
        <v>3648</v>
      </c>
      <c r="R30" s="28">
        <f>'IMS vs FRCST'!R11</f>
        <v>4177</v>
      </c>
      <c r="S30" s="28">
        <f>'IMS vs FRCST'!S11</f>
        <v>4500</v>
      </c>
      <c r="T30" s="28">
        <f>'IMS vs FRCST'!T11</f>
        <v>4500</v>
      </c>
      <c r="U30" s="28">
        <f>'IMS vs FRCST'!U11</f>
        <v>4500</v>
      </c>
      <c r="V30" s="28">
        <f>'IMS vs FRCST'!V11</f>
        <v>5000</v>
      </c>
      <c r="W30" s="28">
        <f>'IMS vs FRCST'!W11</f>
        <v>5000</v>
      </c>
      <c r="X30" s="28">
        <f>'IMS vs FRCST'!X11</f>
        <v>3500</v>
      </c>
      <c r="Y30" s="28">
        <f>'IMS vs FRCST'!Y11</f>
        <v>3500</v>
      </c>
      <c r="Z30" s="28">
        <f>'IMS vs FRCST'!Z11</f>
        <v>3500</v>
      </c>
      <c r="AA30" s="28">
        <f>'IMS vs FRCST'!AA11</f>
        <v>3000</v>
      </c>
      <c r="AB30" s="26">
        <f>SUM(P30:AA30)</f>
        <v>51745</v>
      </c>
      <c r="AC30" s="28">
        <f>'IMS vs FRCST'!AC11</f>
        <v>5500</v>
      </c>
      <c r="AD30" s="28">
        <f>'IMS vs FRCST'!AD11</f>
        <v>5000</v>
      </c>
      <c r="AE30" s="28">
        <f>'IMS vs FRCST'!AE11</f>
        <v>5100</v>
      </c>
      <c r="AF30" s="28">
        <f>'IMS vs FRCST'!AF11</f>
        <v>4590</v>
      </c>
      <c r="AG30" s="28">
        <f>'IMS vs FRCST'!AG11</f>
        <v>4590</v>
      </c>
      <c r="AH30" s="28">
        <f>'IMS vs FRCST'!AH11</f>
        <v>4590</v>
      </c>
      <c r="AI30" s="28">
        <f>'IMS vs FRCST'!AI11</f>
        <v>5100</v>
      </c>
      <c r="AJ30" s="28">
        <f>'IMS vs FRCST'!AJ11</f>
        <v>5100</v>
      </c>
      <c r="AK30" s="28">
        <f>'IMS vs FRCST'!AK11</f>
        <v>3570</v>
      </c>
      <c r="AL30" s="28">
        <f>'IMS vs FRCST'!AL11</f>
        <v>3570</v>
      </c>
      <c r="AM30" s="28">
        <f>'IMS vs FRCST'!AM11</f>
        <v>3570</v>
      </c>
      <c r="AN30" s="28">
        <f>'IMS vs FRCST'!AN11</f>
        <v>3060</v>
      </c>
      <c r="AO30" s="26">
        <f>SUM(AC30:AN30)</f>
        <v>53340</v>
      </c>
    </row>
    <row r="31" spans="1:41" x14ac:dyDescent="0.35">
      <c r="A31" s="163"/>
      <c r="B31" s="4" t="s">
        <v>56</v>
      </c>
      <c r="C31" s="71">
        <f>'Shipment (Production)'!G12</f>
        <v>3100</v>
      </c>
      <c r="D31" s="71">
        <f>'Shipment (Production)'!L12</f>
        <v>4042</v>
      </c>
      <c r="E31" s="71">
        <f>'Shipment (Production)'!Q12</f>
        <v>4166</v>
      </c>
      <c r="F31" s="71">
        <f>'Shipment (Production)'!V12</f>
        <v>509</v>
      </c>
      <c r="G31" s="71">
        <f>'Shipment (Production)'!AA12</f>
        <v>0</v>
      </c>
      <c r="H31" s="71">
        <f>'Shipment (Production)'!AF12</f>
        <v>3349</v>
      </c>
      <c r="I31" s="71">
        <f>'Shipment (Production)'!AK12</f>
        <v>4548</v>
      </c>
      <c r="J31" s="71">
        <f>'Shipment (Production)'!AP12</f>
        <v>2456</v>
      </c>
      <c r="K31" s="27">
        <f>'Shipment (Production)'!AU12</f>
        <v>4504</v>
      </c>
      <c r="L31" s="27">
        <f>'Shipment (Production)'!AZ12</f>
        <v>5761</v>
      </c>
      <c r="M31" s="27">
        <f>'Shipment (Production)'!BE12</f>
        <v>5169</v>
      </c>
      <c r="N31" s="27">
        <f>'Shipment (Production)'!BJ12</f>
        <v>2167</v>
      </c>
      <c r="O31" s="26">
        <f>SUM(C31:N31)</f>
        <v>39771</v>
      </c>
      <c r="P31" s="27">
        <f>'Shipment (Production)'!BP12</f>
        <v>6500</v>
      </c>
      <c r="Q31" s="27">
        <f>'Shipment (Production)'!BU12</f>
        <v>5500</v>
      </c>
      <c r="R31" s="27">
        <f>'Shipment (Production)'!BZ12</f>
        <v>6000</v>
      </c>
      <c r="S31" s="27">
        <f>'Shipment (Production)'!CE12</f>
        <v>5000</v>
      </c>
      <c r="T31" s="27">
        <f>'Shipment (Production)'!CJ12</f>
        <v>5500</v>
      </c>
      <c r="U31" s="27">
        <f>'Shipment (Production)'!CO12</f>
        <v>4500</v>
      </c>
      <c r="V31" s="27">
        <f>'Shipment (Production)'!CT12</f>
        <v>4500</v>
      </c>
      <c r="W31" s="27">
        <f>'Shipment (Production)'!CY12</f>
        <v>4000</v>
      </c>
      <c r="X31" s="27">
        <f>'Shipment (Production)'!DD12</f>
        <v>4000</v>
      </c>
      <c r="Y31" s="27">
        <f>'Shipment (Production)'!DI12</f>
        <v>4000</v>
      </c>
      <c r="Z31" s="27">
        <f>'Shipment (Production)'!DN12</f>
        <v>4500</v>
      </c>
      <c r="AA31" s="27">
        <f>'Shipment (Production)'!DS12</f>
        <v>2500</v>
      </c>
      <c r="AB31" s="26">
        <f>SUM(P31:AA31)</f>
        <v>56500</v>
      </c>
      <c r="AC31" s="27">
        <f>'Shipment (Production)'!DY12</f>
        <v>5500</v>
      </c>
      <c r="AD31" s="27">
        <f>'Shipment (Production)'!ED12</f>
        <v>5000</v>
      </c>
      <c r="AE31" s="27">
        <f>'Shipment (Production)'!EI12</f>
        <v>5100</v>
      </c>
      <c r="AF31" s="27">
        <f>'Shipment (Production)'!EN12</f>
        <v>4590</v>
      </c>
      <c r="AG31" s="27">
        <f>'Shipment (Production)'!ES12</f>
        <v>4590</v>
      </c>
      <c r="AH31" s="27">
        <f>'Shipment (Production)'!EX12</f>
        <v>4590</v>
      </c>
      <c r="AI31" s="27">
        <f>'Shipment (Production)'!FC12</f>
        <v>4590</v>
      </c>
      <c r="AJ31" s="27">
        <f>'Shipment (Production)'!FH12</f>
        <v>4590</v>
      </c>
      <c r="AK31" s="27">
        <f>'Shipment (Production)'!FM12</f>
        <v>4590</v>
      </c>
      <c r="AL31" s="27">
        <f>'Shipment (Production)'!FR12</f>
        <v>3570</v>
      </c>
      <c r="AM31" s="27">
        <f>'Shipment (Production)'!FW12</f>
        <v>3570</v>
      </c>
      <c r="AN31" s="27">
        <f>'Shipment (Production)'!GB12</f>
        <v>3570</v>
      </c>
      <c r="AO31" s="26">
        <f>SUM(AC31:AN31)</f>
        <v>53850</v>
      </c>
    </row>
    <row r="32" spans="1:41" x14ac:dyDescent="0.35">
      <c r="A32" s="163"/>
      <c r="B32" s="4" t="s">
        <v>57</v>
      </c>
      <c r="C32" s="71">
        <f>'Arrival to Regie'!G12</f>
        <v>3100</v>
      </c>
      <c r="D32" s="71">
        <f>'Arrival to Regie'!L12</f>
        <v>3102</v>
      </c>
      <c r="E32" s="71">
        <f>'Arrival to Regie'!Q12</f>
        <v>2340</v>
      </c>
      <c r="F32" s="71">
        <f>'Arrival to Regie'!V12</f>
        <v>3275</v>
      </c>
      <c r="G32" s="71">
        <f>'Arrival to Regie'!AA12</f>
        <v>0</v>
      </c>
      <c r="H32" s="71">
        <f>'Arrival to Regie'!AF12</f>
        <v>3349</v>
      </c>
      <c r="I32" s="71">
        <f>'Arrival to Regie'!AK12</f>
        <v>2624</v>
      </c>
      <c r="J32" s="71">
        <f>'Arrival to Regie'!AP12</f>
        <v>3940</v>
      </c>
      <c r="K32" s="27">
        <f>'Arrival to Regie'!AU12</f>
        <v>4944</v>
      </c>
      <c r="L32" s="27">
        <f>'Arrival to Regie'!AZ12</f>
        <v>5500</v>
      </c>
      <c r="M32" s="27">
        <f>'Arrival to Regie'!BE12</f>
        <v>5430</v>
      </c>
      <c r="N32" s="27">
        <f>'Arrival to Regie'!BJ12</f>
        <v>2167</v>
      </c>
      <c r="O32" s="26">
        <f>SUM(C32:N32)</f>
        <v>39771</v>
      </c>
      <c r="P32" s="27">
        <f>'Arrival to Regie'!BP12</f>
        <v>6500</v>
      </c>
      <c r="Q32" s="27">
        <f>'Arrival to Regie'!BU12</f>
        <v>5500</v>
      </c>
      <c r="R32" s="27">
        <f>'Arrival to Regie'!BZ12</f>
        <v>6000</v>
      </c>
      <c r="S32" s="27">
        <f>'Arrival to Regie'!CE12</f>
        <v>5000</v>
      </c>
      <c r="T32" s="27">
        <f>'Arrival to Regie'!CJ12</f>
        <v>5500</v>
      </c>
      <c r="U32" s="27">
        <f>'Arrival to Regie'!CO12</f>
        <v>4500</v>
      </c>
      <c r="V32" s="27">
        <f>'Arrival to Regie'!CT12</f>
        <v>4500</v>
      </c>
      <c r="W32" s="27">
        <f>'Arrival to Regie'!CY12</f>
        <v>4000</v>
      </c>
      <c r="X32" s="27">
        <f>'Arrival to Regie'!DD12</f>
        <v>4000</v>
      </c>
      <c r="Y32" s="27">
        <f>'Arrival to Regie'!DI12</f>
        <v>4000</v>
      </c>
      <c r="Z32" s="27">
        <f>'Arrival to Regie'!DN12</f>
        <v>4500</v>
      </c>
      <c r="AA32" s="27">
        <f>'Arrival to Regie'!DS12</f>
        <v>2500</v>
      </c>
      <c r="AB32" s="26">
        <f>SUM(P32:AA32)</f>
        <v>56500</v>
      </c>
      <c r="AC32" s="27">
        <f>'Arrival to Regie'!DY12</f>
        <v>5500</v>
      </c>
      <c r="AD32" s="27">
        <f>'Arrival to Regie'!EI12</f>
        <v>5100</v>
      </c>
      <c r="AE32" s="27">
        <f>'Arrival to Regie'!EN12</f>
        <v>4590</v>
      </c>
      <c r="AF32" s="27">
        <f>'Arrival to Regie'!ES12</f>
        <v>4590</v>
      </c>
      <c r="AG32" s="27">
        <f>'Arrival to Regie'!ES12</f>
        <v>4590</v>
      </c>
      <c r="AH32" s="27">
        <f>'Arrival to Regie'!EX12</f>
        <v>4590</v>
      </c>
      <c r="AI32" s="27">
        <f>'Arrival to Regie'!FC12</f>
        <v>4590</v>
      </c>
      <c r="AJ32" s="27">
        <f>'Arrival to Regie'!FH12</f>
        <v>4590</v>
      </c>
      <c r="AK32" s="27">
        <f>'Arrival to Regie'!FM12</f>
        <v>4590</v>
      </c>
      <c r="AL32" s="27">
        <f>'Arrival to Regie'!FR12</f>
        <v>3570</v>
      </c>
      <c r="AM32" s="27">
        <f>'Arrival to Regie'!FW12</f>
        <v>3570</v>
      </c>
      <c r="AN32" s="27">
        <f>'Arrival to Regie'!GB12</f>
        <v>3570</v>
      </c>
      <c r="AO32" s="26">
        <f>SUM(AC32:AN32)</f>
        <v>53440</v>
      </c>
    </row>
    <row r="33" spans="1:41" x14ac:dyDescent="0.35">
      <c r="A33" s="163"/>
      <c r="B33" s="47" t="s">
        <v>58</v>
      </c>
      <c r="C33" s="72">
        <f t="shared" ref="C33:AA33" si="87">C28+C29+C32-C30</f>
        <v>77</v>
      </c>
      <c r="D33" s="72">
        <f t="shared" si="87"/>
        <v>926</v>
      </c>
      <c r="E33" s="72">
        <f t="shared" si="87"/>
        <v>1024</v>
      </c>
      <c r="F33" s="72">
        <f t="shared" si="87"/>
        <v>0</v>
      </c>
      <c r="G33" s="72">
        <f t="shared" si="87"/>
        <v>0</v>
      </c>
      <c r="H33" s="72">
        <f t="shared" si="87"/>
        <v>998</v>
      </c>
      <c r="I33" s="72">
        <f t="shared" si="87"/>
        <v>2624</v>
      </c>
      <c r="J33" s="72">
        <f t="shared" si="87"/>
        <v>107</v>
      </c>
      <c r="K33" s="48">
        <f t="shared" si="87"/>
        <v>1675</v>
      </c>
      <c r="L33" s="48">
        <f t="shared" si="87"/>
        <v>2260</v>
      </c>
      <c r="M33" s="48">
        <f t="shared" si="87"/>
        <v>269</v>
      </c>
      <c r="N33" s="48">
        <f t="shared" si="87"/>
        <v>2436</v>
      </c>
      <c r="O33" s="26"/>
      <c r="P33" s="48">
        <f t="shared" si="87"/>
        <v>2011</v>
      </c>
      <c r="Q33" s="48">
        <f t="shared" si="87"/>
        <v>3863</v>
      </c>
      <c r="R33" s="48">
        <f t="shared" si="87"/>
        <v>5686</v>
      </c>
      <c r="S33" s="48">
        <f t="shared" si="87"/>
        <v>6186</v>
      </c>
      <c r="T33" s="48">
        <f t="shared" si="87"/>
        <v>7186</v>
      </c>
      <c r="U33" s="48">
        <f t="shared" si="87"/>
        <v>7186</v>
      </c>
      <c r="V33" s="48">
        <f t="shared" si="87"/>
        <v>6686</v>
      </c>
      <c r="W33" s="48">
        <f t="shared" si="87"/>
        <v>5686</v>
      </c>
      <c r="X33" s="48">
        <f t="shared" si="87"/>
        <v>6186</v>
      </c>
      <c r="Y33" s="48">
        <f t="shared" si="87"/>
        <v>6686</v>
      </c>
      <c r="Z33" s="48">
        <f t="shared" si="87"/>
        <v>7686</v>
      </c>
      <c r="AA33" s="48">
        <f t="shared" si="87"/>
        <v>7186</v>
      </c>
      <c r="AB33" s="26"/>
      <c r="AC33" s="48">
        <f t="shared" ref="AC33:AN33" si="88">AC28+AC29+AC32-AC30</f>
        <v>7186</v>
      </c>
      <c r="AD33" s="48">
        <f t="shared" si="88"/>
        <v>7286</v>
      </c>
      <c r="AE33" s="48">
        <f t="shared" si="88"/>
        <v>6776</v>
      </c>
      <c r="AF33" s="48">
        <f t="shared" si="88"/>
        <v>6776</v>
      </c>
      <c r="AG33" s="48">
        <f t="shared" si="88"/>
        <v>6776</v>
      </c>
      <c r="AH33" s="48">
        <f t="shared" si="88"/>
        <v>6776</v>
      </c>
      <c r="AI33" s="48">
        <f t="shared" si="88"/>
        <v>6266</v>
      </c>
      <c r="AJ33" s="48">
        <f t="shared" si="88"/>
        <v>5756</v>
      </c>
      <c r="AK33" s="48">
        <f t="shared" si="88"/>
        <v>6776</v>
      </c>
      <c r="AL33" s="48">
        <f t="shared" si="88"/>
        <v>6776</v>
      </c>
      <c r="AM33" s="48">
        <f t="shared" si="88"/>
        <v>6776</v>
      </c>
      <c r="AN33" s="48">
        <f t="shared" si="88"/>
        <v>7286</v>
      </c>
      <c r="AO33" s="26"/>
    </row>
    <row r="34" spans="1:41" ht="15" thickBot="1" x14ac:dyDescent="0.4">
      <c r="A34" s="164"/>
      <c r="B34" s="34" t="s">
        <v>59</v>
      </c>
      <c r="C34" s="35">
        <f>IF(C33=0,0,IFERROR((((C33)/(AVERAGE(D30:E30)))*4.3),"∞"))</f>
        <v>0.14731924360400445</v>
      </c>
      <c r="D34" s="35">
        <f t="shared" ref="D34:L34" si="89">IF(D33=0,0,IFERROR((((D33)/(AVERAGE(E30:F30)))*4.3),"∞"))</f>
        <v>1.2174896804769912</v>
      </c>
      <c r="E34" s="35">
        <f t="shared" si="89"/>
        <v>2.0484763898581062</v>
      </c>
      <c r="F34" s="35">
        <f t="shared" si="89"/>
        <v>0</v>
      </c>
      <c r="G34" s="35">
        <f t="shared" si="89"/>
        <v>0</v>
      </c>
      <c r="H34" s="35">
        <f t="shared" si="89"/>
        <v>1.1512810194500334</v>
      </c>
      <c r="I34" s="35">
        <f t="shared" si="89"/>
        <v>2.2949659310485102</v>
      </c>
      <c r="J34" s="35">
        <f t="shared" si="89"/>
        <v>0.11098781811602942</v>
      </c>
      <c r="K34" s="35">
        <f t="shared" si="89"/>
        <v>1.1677204928664071</v>
      </c>
      <c r="L34" s="35">
        <f t="shared" si="89"/>
        <v>2.619054035844226</v>
      </c>
      <c r="M34" s="35">
        <f>IF(M33=0,0,IFERROR((((M33)/(AVERAGE(N30,P30)))*4.3),"∞"))</f>
        <v>0.33430635838150291</v>
      </c>
      <c r="N34" s="35">
        <v>100</v>
      </c>
      <c r="O34" s="36"/>
      <c r="P34" s="35">
        <f>IF(P33=0,0,IFERROR((((P33)/(AVERAGE(Q30:R30)))*4.3),"∞"))</f>
        <v>2.2101725239616612</v>
      </c>
      <c r="Q34" s="35">
        <f t="shared" ref="Q34:Y34" si="90">IF(Q33=0,0,IFERROR((((Q33)/(AVERAGE(R30:S30)))*4.3),"∞"))</f>
        <v>3.8287196035496138</v>
      </c>
      <c r="R34" s="35">
        <f t="shared" si="90"/>
        <v>5.4332888888888888</v>
      </c>
      <c r="S34" s="35">
        <f t="shared" si="90"/>
        <v>5.9110666666666667</v>
      </c>
      <c r="T34" s="35">
        <f t="shared" si="90"/>
        <v>6.5052210526315788</v>
      </c>
      <c r="U34" s="35">
        <f t="shared" si="90"/>
        <v>6.1799599999999995</v>
      </c>
      <c r="V34" s="35">
        <f t="shared" si="90"/>
        <v>6.7646588235294116</v>
      </c>
      <c r="W34" s="35">
        <f t="shared" si="90"/>
        <v>6.9856571428571428</v>
      </c>
      <c r="X34" s="35">
        <f t="shared" si="90"/>
        <v>7.5999428571428567</v>
      </c>
      <c r="Y34" s="35">
        <f t="shared" si="90"/>
        <v>8.8460923076923077</v>
      </c>
      <c r="Z34" s="35">
        <f>IF(Z33=0,0,IFERROR((((Z33)/(AVERAGE(AA30,AC30)))*4.3),"∞"))</f>
        <v>7.7764235294117645</v>
      </c>
      <c r="AA34" s="35">
        <f>IF(AA33=0,0,IFERROR((((AA33)/(AVERAGE(AC30:AD30)))*4.3),"∞"))</f>
        <v>5.8856761904761905</v>
      </c>
      <c r="AB34" s="36"/>
      <c r="AC34" s="35">
        <f>IF(AC33=0,0,IFERROR((((AC33)/(AVERAGE(AD30:AE30)))*4.3),"∞"))</f>
        <v>6.1187722772277224</v>
      </c>
      <c r="AD34" s="35">
        <f t="shared" ref="AD34" si="91">IF(AD33=0,0,IFERROR((((AD33)/(AVERAGE(AE30:AF30)))*4.3),"∞"))</f>
        <v>6.4664189886480914</v>
      </c>
      <c r="AE34" s="35">
        <f t="shared" ref="AE34" si="92">IF(AE33=0,0,IFERROR((((AE33)/(AVERAGE(AF30:AG30)))*4.3),"∞"))</f>
        <v>6.347886710239651</v>
      </c>
      <c r="AF34" s="35">
        <f t="shared" ref="AF34" si="93">IF(AF33=0,0,IFERROR((((AF33)/(AVERAGE(AG30:AH30)))*4.3),"∞"))</f>
        <v>6.347886710239651</v>
      </c>
      <c r="AG34" s="35">
        <f t="shared" ref="AG34" si="94">IF(AG33=0,0,IFERROR((((AG33)/(AVERAGE(AH30:AI30)))*4.3),"∞"))</f>
        <v>6.013787409700722</v>
      </c>
      <c r="AH34" s="35">
        <f t="shared" ref="AH34" si="95">IF(AH33=0,0,IFERROR((((AH33)/(AVERAGE(AI30:AJ30)))*4.3),"∞"))</f>
        <v>5.7130980392156863</v>
      </c>
      <c r="AI34" s="35">
        <f t="shared" ref="AI34" si="96">IF(AI33=0,0,IFERROR((((AI33)/(AVERAGE(AJ30:AK30)))*4.3),"∞"))</f>
        <v>6.2154094579008072</v>
      </c>
      <c r="AJ34" s="35">
        <f t="shared" ref="AJ34" si="97">IF(AJ33=0,0,IFERROR((((AJ33)/(AVERAGE(AK30:AL30)))*4.3),"∞"))</f>
        <v>6.9329971988795513</v>
      </c>
      <c r="AK34" s="35">
        <f t="shared" ref="AK34" si="98">IF(AK33=0,0,IFERROR((((AK33)/(AVERAGE(AL30:AM30)))*4.3),"∞"))</f>
        <v>8.1615686274509791</v>
      </c>
      <c r="AL34" s="35">
        <f t="shared" ref="AL34" si="99">IF(AL33=0,0,IFERROR((((AL33)/(AVERAGE(AM30:AN30)))*4.3),"∞"))</f>
        <v>8.7893815987933621</v>
      </c>
      <c r="AM34" s="35">
        <f>IF(AM33=0,0,IFERROR((((AM33)/(AVERAGE(AN30,AP30)))*4.3),"∞"))</f>
        <v>9.5218300653594774</v>
      </c>
      <c r="AN34" s="35" t="str">
        <f>IF(AN33=0,0,IFERROR((((AN33)/(AVERAGE(AP30:AQ30)))*4.3),"∞"))</f>
        <v>∞</v>
      </c>
      <c r="AO34" s="36"/>
    </row>
    <row r="35" spans="1:41" s="23" customFormat="1" ht="15" thickBot="1" x14ac:dyDescent="0.4">
      <c r="A35" s="22"/>
      <c r="C35" s="74"/>
      <c r="D35" s="74"/>
      <c r="E35" s="74"/>
      <c r="F35" s="74"/>
      <c r="G35" s="74"/>
      <c r="H35" s="74"/>
      <c r="I35" s="74"/>
      <c r="J35" s="74"/>
      <c r="K35" s="24"/>
      <c r="L35" s="24"/>
      <c r="M35" s="24"/>
      <c r="N35" s="24"/>
      <c r="O35" s="25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5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5"/>
    </row>
    <row r="36" spans="1:41" ht="14.5" customHeight="1" x14ac:dyDescent="0.35">
      <c r="A36" s="162" t="str">
        <f>'IMS vs FRCST'!B12</f>
        <v>Al Fakher Two Apple Bahraini  250g</v>
      </c>
      <c r="B36" s="21" t="s">
        <v>53</v>
      </c>
      <c r="C36" s="70">
        <v>0</v>
      </c>
      <c r="D36" s="70">
        <f t="shared" ref="D36" si="100">C41</f>
        <v>0</v>
      </c>
      <c r="E36" s="70">
        <f t="shared" ref="E36:N36" si="101">D41</f>
        <v>1264</v>
      </c>
      <c r="F36" s="70">
        <f t="shared" si="101"/>
        <v>709</v>
      </c>
      <c r="G36" s="70">
        <f t="shared" si="101"/>
        <v>653</v>
      </c>
      <c r="H36" s="70">
        <f t="shared" si="101"/>
        <v>645</v>
      </c>
      <c r="I36" s="70">
        <f t="shared" si="101"/>
        <v>381</v>
      </c>
      <c r="J36" s="70">
        <f t="shared" si="101"/>
        <v>60</v>
      </c>
      <c r="K36" s="32">
        <f t="shared" si="101"/>
        <v>0</v>
      </c>
      <c r="L36" s="32">
        <f t="shared" si="101"/>
        <v>94</v>
      </c>
      <c r="M36" s="32">
        <f t="shared" si="101"/>
        <v>400</v>
      </c>
      <c r="N36" s="32">
        <f t="shared" si="101"/>
        <v>0</v>
      </c>
      <c r="O36" s="33"/>
      <c r="P36" s="32">
        <f>N41</f>
        <v>352</v>
      </c>
      <c r="Q36" s="32">
        <f t="shared" ref="Q36:AA36" si="102">P41</f>
        <v>123</v>
      </c>
      <c r="R36" s="32">
        <f t="shared" si="102"/>
        <v>556</v>
      </c>
      <c r="S36" s="32">
        <f t="shared" si="102"/>
        <v>786</v>
      </c>
      <c r="T36" s="32">
        <f t="shared" si="102"/>
        <v>886</v>
      </c>
      <c r="U36" s="32">
        <f t="shared" si="102"/>
        <v>636</v>
      </c>
      <c r="V36" s="32">
        <f t="shared" si="102"/>
        <v>386</v>
      </c>
      <c r="W36" s="32">
        <f t="shared" si="102"/>
        <v>336</v>
      </c>
      <c r="X36" s="32">
        <f t="shared" si="102"/>
        <v>286</v>
      </c>
      <c r="Y36" s="32">
        <f t="shared" si="102"/>
        <v>36</v>
      </c>
      <c r="Z36" s="32">
        <f t="shared" si="102"/>
        <v>86</v>
      </c>
      <c r="AA36" s="32">
        <f t="shared" si="102"/>
        <v>136</v>
      </c>
      <c r="AB36" s="33"/>
      <c r="AC36" s="32">
        <f>AA41</f>
        <v>136</v>
      </c>
      <c r="AD36" s="32">
        <f t="shared" ref="AD36" si="103">AC41</f>
        <v>136</v>
      </c>
      <c r="AE36" s="32">
        <f t="shared" ref="AE36" si="104">AD41</f>
        <v>140</v>
      </c>
      <c r="AF36" s="32">
        <f t="shared" ref="AF36" si="105">AE41</f>
        <v>242</v>
      </c>
      <c r="AG36" s="32">
        <f t="shared" ref="AG36" si="106">AF41</f>
        <v>242</v>
      </c>
      <c r="AH36" s="32">
        <f t="shared" ref="AH36" si="107">AG41</f>
        <v>293</v>
      </c>
      <c r="AI36" s="32">
        <f t="shared" ref="AI36" si="108">AH41</f>
        <v>344</v>
      </c>
      <c r="AJ36" s="32">
        <f t="shared" ref="AJ36" si="109">AI41</f>
        <v>395</v>
      </c>
      <c r="AK36" s="32">
        <f t="shared" ref="AK36" si="110">AJ41</f>
        <v>446</v>
      </c>
      <c r="AL36" s="32">
        <f t="shared" ref="AL36" si="111">AK41</f>
        <v>497</v>
      </c>
      <c r="AM36" s="32">
        <f t="shared" ref="AM36" si="112">AL41</f>
        <v>599</v>
      </c>
      <c r="AN36" s="32">
        <f t="shared" ref="AN36" si="113">AM41</f>
        <v>650</v>
      </c>
      <c r="AO36" s="33"/>
    </row>
    <row r="37" spans="1:41" x14ac:dyDescent="0.35">
      <c r="A37" s="163"/>
      <c r="B37" s="4" t="s">
        <v>54</v>
      </c>
      <c r="C37" s="71"/>
      <c r="D37" s="71"/>
      <c r="E37" s="71"/>
      <c r="F37" s="71"/>
      <c r="G37" s="71"/>
      <c r="H37" s="71"/>
      <c r="I37" s="75">
        <v>-263</v>
      </c>
      <c r="J37" s="71"/>
      <c r="K37" s="27"/>
      <c r="L37" s="27"/>
      <c r="M37" s="27"/>
      <c r="N37" s="27"/>
      <c r="O37" s="26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6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6"/>
    </row>
    <row r="38" spans="1:41" s="6" customFormat="1" x14ac:dyDescent="0.35">
      <c r="A38" s="163"/>
      <c r="B38" s="42" t="s">
        <v>55</v>
      </c>
      <c r="C38" s="44">
        <f>'IMS vs FRCST'!C12</f>
        <v>300</v>
      </c>
      <c r="D38" s="44">
        <f>'IMS vs FRCST'!D12</f>
        <v>0</v>
      </c>
      <c r="E38" s="44">
        <f>'IMS vs FRCST'!E12</f>
        <v>555</v>
      </c>
      <c r="F38" s="44">
        <f>'IMS vs FRCST'!F12</f>
        <v>79</v>
      </c>
      <c r="G38" s="44">
        <f>'IMS vs FRCST'!G12</f>
        <v>8</v>
      </c>
      <c r="H38" s="44">
        <f>'IMS vs FRCST'!H12</f>
        <v>264</v>
      </c>
      <c r="I38" s="44">
        <f>'IMS vs FRCST'!I12</f>
        <v>58</v>
      </c>
      <c r="J38" s="44">
        <f>'IMS vs FRCST'!J12</f>
        <v>60</v>
      </c>
      <c r="K38" s="43">
        <f>'IMS vs FRCST'!K12</f>
        <v>537</v>
      </c>
      <c r="L38" s="43">
        <f>'IMS vs FRCST'!L12</f>
        <v>94</v>
      </c>
      <c r="M38" s="43">
        <f>'IMS vs FRCST'!M12</f>
        <v>400</v>
      </c>
      <c r="N38" s="43">
        <f>'IMS vs FRCST'!N12</f>
        <v>50</v>
      </c>
      <c r="O38" s="26">
        <f>SUM(C38:N38)</f>
        <v>2405</v>
      </c>
      <c r="P38" s="28">
        <f>'IMS vs FRCST'!P12</f>
        <v>229</v>
      </c>
      <c r="Q38" s="28">
        <f>'IMS vs FRCST'!Q12</f>
        <v>26</v>
      </c>
      <c r="R38" s="28">
        <f>'IMS vs FRCST'!R12</f>
        <v>58</v>
      </c>
      <c r="S38" s="28">
        <f>'IMS vs FRCST'!S12</f>
        <v>300</v>
      </c>
      <c r="T38" s="28">
        <f>'IMS vs FRCST'!T12</f>
        <v>250</v>
      </c>
      <c r="U38" s="28">
        <f>'IMS vs FRCST'!U12</f>
        <v>250</v>
      </c>
      <c r="V38" s="28">
        <f>'IMS vs FRCST'!V12</f>
        <v>250</v>
      </c>
      <c r="W38" s="28">
        <f>'IMS vs FRCST'!W12</f>
        <v>250</v>
      </c>
      <c r="X38" s="28">
        <f>'IMS vs FRCST'!X12</f>
        <v>250</v>
      </c>
      <c r="Y38" s="28">
        <f>'IMS vs FRCST'!Y12</f>
        <v>200</v>
      </c>
      <c r="Z38" s="28">
        <f>'IMS vs FRCST'!Z12</f>
        <v>200</v>
      </c>
      <c r="AA38" s="28">
        <f>'IMS vs FRCST'!AA12</f>
        <v>200</v>
      </c>
      <c r="AB38" s="26">
        <f>SUM(P38:AA38)</f>
        <v>2463</v>
      </c>
      <c r="AC38" s="28">
        <f>'IMS vs FRCST'!AC12</f>
        <v>200</v>
      </c>
      <c r="AD38" s="28">
        <f>'IMS vs FRCST'!AD12</f>
        <v>200</v>
      </c>
      <c r="AE38" s="28">
        <f>'IMS vs FRCST'!AE12</f>
        <v>204</v>
      </c>
      <c r="AF38" s="28">
        <f>'IMS vs FRCST'!AF12</f>
        <v>306</v>
      </c>
      <c r="AG38" s="28">
        <f>'IMS vs FRCST'!AG12</f>
        <v>255</v>
      </c>
      <c r="AH38" s="28">
        <f>'IMS vs FRCST'!AH12</f>
        <v>255</v>
      </c>
      <c r="AI38" s="28">
        <f>'IMS vs FRCST'!AI12</f>
        <v>255</v>
      </c>
      <c r="AJ38" s="28">
        <f>'IMS vs FRCST'!AJ12</f>
        <v>255</v>
      </c>
      <c r="AK38" s="28">
        <f>'IMS vs FRCST'!AK12</f>
        <v>255</v>
      </c>
      <c r="AL38" s="28">
        <f>'IMS vs FRCST'!AL12</f>
        <v>204</v>
      </c>
      <c r="AM38" s="28">
        <f>'IMS vs FRCST'!AM12</f>
        <v>204</v>
      </c>
      <c r="AN38" s="28">
        <f>'IMS vs FRCST'!AN12</f>
        <v>204</v>
      </c>
      <c r="AO38" s="26">
        <f>SUM(AC38:AN38)</f>
        <v>2797</v>
      </c>
    </row>
    <row r="39" spans="1:41" x14ac:dyDescent="0.35">
      <c r="A39" s="163"/>
      <c r="B39" s="4" t="s">
        <v>56</v>
      </c>
      <c r="C39" s="71">
        <f>'Shipment (Production)'!G13</f>
        <v>300</v>
      </c>
      <c r="D39" s="71">
        <f>'Shipment (Production)'!L13</f>
        <v>1001</v>
      </c>
      <c r="E39" s="71">
        <f>'Shipment (Production)'!Q13</f>
        <v>0</v>
      </c>
      <c r="F39" s="71">
        <f>'Shipment (Production)'!V13</f>
        <v>23</v>
      </c>
      <c r="G39" s="71">
        <f>'Shipment (Production)'!AA13</f>
        <v>0</v>
      </c>
      <c r="H39" s="71">
        <f>'Shipment (Production)'!AF13</f>
        <v>0</v>
      </c>
      <c r="I39" s="71">
        <f>'Shipment (Production)'!AK13</f>
        <v>0</v>
      </c>
      <c r="J39" s="71">
        <f>'Shipment (Production)'!AP13</f>
        <v>631</v>
      </c>
      <c r="K39" s="27">
        <f>'Shipment (Production)'!AU13</f>
        <v>0</v>
      </c>
      <c r="L39" s="27">
        <f>'Shipment (Production)'!AZ13</f>
        <v>400</v>
      </c>
      <c r="M39" s="27">
        <f>'Shipment (Production)'!BE13</f>
        <v>402</v>
      </c>
      <c r="N39" s="27">
        <f>'Shipment (Production)'!BJ13</f>
        <v>0</v>
      </c>
      <c r="O39" s="26">
        <f>SUM(C39:N39)</f>
        <v>2757</v>
      </c>
      <c r="P39" s="27">
        <f>'Shipment (Production)'!BP13</f>
        <v>459</v>
      </c>
      <c r="Q39" s="27">
        <f>'Shipment (Production)'!BU13</f>
        <v>288</v>
      </c>
      <c r="R39" s="27">
        <f>'Shipment (Production)'!BZ13</f>
        <v>400</v>
      </c>
      <c r="S39" s="27">
        <f>'Shipment (Production)'!CE13</f>
        <v>0</v>
      </c>
      <c r="T39" s="27">
        <f>'Shipment (Production)'!CJ13</f>
        <v>0</v>
      </c>
      <c r="U39" s="27">
        <f>'Shipment (Production)'!CO13</f>
        <v>0</v>
      </c>
      <c r="V39" s="27">
        <f>'Shipment (Production)'!CT13</f>
        <v>200</v>
      </c>
      <c r="W39" s="27">
        <f>'Shipment (Production)'!CY13</f>
        <v>200</v>
      </c>
      <c r="X39" s="27">
        <f>'Shipment (Production)'!DD13</f>
        <v>250</v>
      </c>
      <c r="Y39" s="27">
        <f>'Shipment (Production)'!DI13</f>
        <v>250</v>
      </c>
      <c r="Z39" s="27">
        <f>'Shipment (Production)'!DN13</f>
        <v>0</v>
      </c>
      <c r="AA39" s="27">
        <f>'Shipment (Production)'!DS13</f>
        <v>200</v>
      </c>
      <c r="AB39" s="26">
        <f>SUM(P39:AA39)</f>
        <v>2247</v>
      </c>
      <c r="AC39" s="27">
        <f>'Shipment (Production)'!DY13</f>
        <v>200</v>
      </c>
      <c r="AD39" s="27">
        <f>'Shipment (Production)'!ED13</f>
        <v>200</v>
      </c>
      <c r="AE39" s="27">
        <f>'Shipment (Production)'!EI13</f>
        <v>204</v>
      </c>
      <c r="AF39" s="27">
        <f>'Shipment (Production)'!EN13</f>
        <v>306</v>
      </c>
      <c r="AG39" s="27">
        <f>'Shipment (Production)'!ES13</f>
        <v>306</v>
      </c>
      <c r="AH39" s="27">
        <f>'Shipment (Production)'!EX13</f>
        <v>306</v>
      </c>
      <c r="AI39" s="27">
        <f>'Shipment (Production)'!FC13</f>
        <v>306</v>
      </c>
      <c r="AJ39" s="27">
        <f>'Shipment (Production)'!FH13</f>
        <v>306</v>
      </c>
      <c r="AK39" s="27">
        <f>'Shipment (Production)'!FM13</f>
        <v>306</v>
      </c>
      <c r="AL39" s="27">
        <f>'Shipment (Production)'!FR13</f>
        <v>306</v>
      </c>
      <c r="AM39" s="27">
        <f>'Shipment (Production)'!FW13</f>
        <v>255</v>
      </c>
      <c r="AN39" s="27">
        <f>'Shipment (Production)'!GB13</f>
        <v>255</v>
      </c>
      <c r="AO39" s="26">
        <f>SUM(AC39:AN39)</f>
        <v>3256</v>
      </c>
    </row>
    <row r="40" spans="1:41" x14ac:dyDescent="0.35">
      <c r="A40" s="163"/>
      <c r="B40" s="4" t="s">
        <v>57</v>
      </c>
      <c r="C40" s="71">
        <f>'Arrival to Regie'!G13</f>
        <v>300</v>
      </c>
      <c r="D40" s="71">
        <f>'Arrival to Regie'!L13</f>
        <v>1264</v>
      </c>
      <c r="E40" s="71">
        <f>'Arrival to Regie'!Q13</f>
        <v>0</v>
      </c>
      <c r="F40" s="71">
        <f>'Arrival to Regie'!V13</f>
        <v>23</v>
      </c>
      <c r="G40" s="71">
        <f>'Arrival to Regie'!AA13</f>
        <v>0</v>
      </c>
      <c r="H40" s="71">
        <f>'Arrival to Regie'!AF13</f>
        <v>0</v>
      </c>
      <c r="I40" s="71">
        <f>'Arrival to Regie'!AK13</f>
        <v>0</v>
      </c>
      <c r="J40" s="71">
        <f>'Arrival to Regie'!AP13</f>
        <v>0</v>
      </c>
      <c r="K40" s="27">
        <f>'Arrival to Regie'!AU13</f>
        <v>631</v>
      </c>
      <c r="L40" s="27">
        <f>'Arrival to Regie'!AZ13</f>
        <v>400</v>
      </c>
      <c r="M40" s="27">
        <f>'Arrival to Regie'!BE13</f>
        <v>0</v>
      </c>
      <c r="N40" s="27">
        <f>'Arrival to Regie'!BJ13</f>
        <v>402</v>
      </c>
      <c r="O40" s="26">
        <f>SUM(C40:N40)</f>
        <v>3020</v>
      </c>
      <c r="P40" s="27">
        <f>'Arrival to Regie'!BP13</f>
        <v>0</v>
      </c>
      <c r="Q40" s="27">
        <f>'Arrival to Regie'!BU13</f>
        <v>459</v>
      </c>
      <c r="R40" s="27">
        <f>'Arrival to Regie'!BZ13</f>
        <v>288</v>
      </c>
      <c r="S40" s="27">
        <f>'Arrival to Regie'!CE13</f>
        <v>400</v>
      </c>
      <c r="T40" s="27">
        <f>'Arrival to Regie'!CJ13</f>
        <v>0</v>
      </c>
      <c r="U40" s="27">
        <f>'Arrival to Regie'!CO13</f>
        <v>0</v>
      </c>
      <c r="V40" s="27">
        <f>'Arrival to Regie'!CT13</f>
        <v>200</v>
      </c>
      <c r="W40" s="27">
        <f>'Arrival to Regie'!CY13</f>
        <v>200</v>
      </c>
      <c r="X40" s="27">
        <f>'Arrival to Regie'!DD13</f>
        <v>0</v>
      </c>
      <c r="Y40" s="27">
        <f>'Arrival to Regie'!DI13</f>
        <v>250</v>
      </c>
      <c r="Z40" s="27">
        <f>'Arrival to Regie'!DN13</f>
        <v>250</v>
      </c>
      <c r="AA40" s="27">
        <f>'Arrival to Regie'!DS13</f>
        <v>200</v>
      </c>
      <c r="AB40" s="26">
        <f>SUM(P40:AA40)</f>
        <v>2247</v>
      </c>
      <c r="AC40" s="27">
        <f>'Arrival to Regie'!DY13</f>
        <v>200</v>
      </c>
      <c r="AD40" s="27">
        <f>'Arrival to Regie'!EI13</f>
        <v>204</v>
      </c>
      <c r="AE40" s="27">
        <f>'Arrival to Regie'!EN13</f>
        <v>306</v>
      </c>
      <c r="AF40" s="27">
        <f>'Arrival to Regie'!ES13</f>
        <v>306</v>
      </c>
      <c r="AG40" s="27">
        <f>'Arrival to Regie'!ES13</f>
        <v>306</v>
      </c>
      <c r="AH40" s="27">
        <f>'Arrival to Regie'!EX13</f>
        <v>306</v>
      </c>
      <c r="AI40" s="27">
        <f>'Arrival to Regie'!FC13</f>
        <v>306</v>
      </c>
      <c r="AJ40" s="27">
        <f>'Arrival to Regie'!FH13</f>
        <v>306</v>
      </c>
      <c r="AK40" s="27">
        <f>'Arrival to Regie'!FM13</f>
        <v>306</v>
      </c>
      <c r="AL40" s="27">
        <f>'Arrival to Regie'!FR13</f>
        <v>306</v>
      </c>
      <c r="AM40" s="27">
        <f>'Arrival to Regie'!FW13</f>
        <v>255</v>
      </c>
      <c r="AN40" s="27">
        <f>'Arrival to Regie'!GB13</f>
        <v>255</v>
      </c>
      <c r="AO40" s="26">
        <f>SUM(AC40:AN40)</f>
        <v>3362</v>
      </c>
    </row>
    <row r="41" spans="1:41" x14ac:dyDescent="0.35">
      <c r="A41" s="163"/>
      <c r="B41" s="47" t="s">
        <v>58</v>
      </c>
      <c r="C41" s="72">
        <f t="shared" ref="C41:AA41" si="114">C36+C37+C40-C38</f>
        <v>0</v>
      </c>
      <c r="D41" s="72">
        <f t="shared" si="114"/>
        <v>1264</v>
      </c>
      <c r="E41" s="72">
        <f t="shared" si="114"/>
        <v>709</v>
      </c>
      <c r="F41" s="72">
        <f t="shared" si="114"/>
        <v>653</v>
      </c>
      <c r="G41" s="72">
        <f t="shared" si="114"/>
        <v>645</v>
      </c>
      <c r="H41" s="72">
        <f t="shared" si="114"/>
        <v>381</v>
      </c>
      <c r="I41" s="72">
        <f t="shared" si="114"/>
        <v>60</v>
      </c>
      <c r="J41" s="72">
        <f t="shared" si="114"/>
        <v>0</v>
      </c>
      <c r="K41" s="48">
        <f t="shared" si="114"/>
        <v>94</v>
      </c>
      <c r="L41" s="48">
        <f t="shared" si="114"/>
        <v>400</v>
      </c>
      <c r="M41" s="48">
        <f t="shared" si="114"/>
        <v>0</v>
      </c>
      <c r="N41" s="48">
        <f t="shared" si="114"/>
        <v>352</v>
      </c>
      <c r="O41" s="26"/>
      <c r="P41" s="48">
        <f t="shared" si="114"/>
        <v>123</v>
      </c>
      <c r="Q41" s="48">
        <f t="shared" si="114"/>
        <v>556</v>
      </c>
      <c r="R41" s="48">
        <f t="shared" si="114"/>
        <v>786</v>
      </c>
      <c r="S41" s="48">
        <f t="shared" si="114"/>
        <v>886</v>
      </c>
      <c r="T41" s="48">
        <f t="shared" si="114"/>
        <v>636</v>
      </c>
      <c r="U41" s="48">
        <f t="shared" si="114"/>
        <v>386</v>
      </c>
      <c r="V41" s="48">
        <f t="shared" si="114"/>
        <v>336</v>
      </c>
      <c r="W41" s="48">
        <f t="shared" si="114"/>
        <v>286</v>
      </c>
      <c r="X41" s="48">
        <f t="shared" si="114"/>
        <v>36</v>
      </c>
      <c r="Y41" s="48">
        <f t="shared" si="114"/>
        <v>86</v>
      </c>
      <c r="Z41" s="48">
        <f t="shared" si="114"/>
        <v>136</v>
      </c>
      <c r="AA41" s="48">
        <f t="shared" si="114"/>
        <v>136</v>
      </c>
      <c r="AB41" s="26"/>
      <c r="AC41" s="48">
        <f t="shared" ref="AC41:AN41" si="115">AC36+AC37+AC40-AC38</f>
        <v>136</v>
      </c>
      <c r="AD41" s="48">
        <f t="shared" si="115"/>
        <v>140</v>
      </c>
      <c r="AE41" s="48">
        <f t="shared" si="115"/>
        <v>242</v>
      </c>
      <c r="AF41" s="48">
        <f t="shared" si="115"/>
        <v>242</v>
      </c>
      <c r="AG41" s="48">
        <f t="shared" si="115"/>
        <v>293</v>
      </c>
      <c r="AH41" s="48">
        <f t="shared" si="115"/>
        <v>344</v>
      </c>
      <c r="AI41" s="48">
        <f t="shared" si="115"/>
        <v>395</v>
      </c>
      <c r="AJ41" s="48">
        <f t="shared" si="115"/>
        <v>446</v>
      </c>
      <c r="AK41" s="48">
        <f t="shared" si="115"/>
        <v>497</v>
      </c>
      <c r="AL41" s="48">
        <f t="shared" si="115"/>
        <v>599</v>
      </c>
      <c r="AM41" s="48">
        <f t="shared" si="115"/>
        <v>650</v>
      </c>
      <c r="AN41" s="48">
        <f t="shared" si="115"/>
        <v>701</v>
      </c>
      <c r="AO41" s="26"/>
    </row>
    <row r="42" spans="1:41" ht="15" thickBot="1" x14ac:dyDescent="0.4">
      <c r="A42" s="164"/>
      <c r="B42" s="34" t="s">
        <v>59</v>
      </c>
      <c r="C42" s="35">
        <f>IF(C41=0,0,IFERROR((((C41)/(AVERAGE(D38:E38)))*4.3),"∞"))</f>
        <v>0</v>
      </c>
      <c r="D42" s="35">
        <f t="shared" ref="D42:L42" si="116">IF(D41=0,0,IFERROR((((D41)/(AVERAGE(E38:F38)))*4.3),"∞"))</f>
        <v>17.145741324921136</v>
      </c>
      <c r="E42" s="35">
        <f t="shared" si="116"/>
        <v>70.085057471264378</v>
      </c>
      <c r="F42" s="35">
        <f t="shared" si="116"/>
        <v>20.646323529411767</v>
      </c>
      <c r="G42" s="35">
        <f t="shared" si="116"/>
        <v>17.226708074534159</v>
      </c>
      <c r="H42" s="35">
        <f t="shared" si="116"/>
        <v>27.767796610169491</v>
      </c>
      <c r="I42" s="35">
        <f t="shared" si="116"/>
        <v>0.86432160804020097</v>
      </c>
      <c r="J42" s="35">
        <f t="shared" si="116"/>
        <v>0</v>
      </c>
      <c r="K42" s="35">
        <f t="shared" si="116"/>
        <v>1.6364372469635626</v>
      </c>
      <c r="L42" s="35">
        <f t="shared" si="116"/>
        <v>7.6444444444444439</v>
      </c>
      <c r="M42" s="35">
        <f>IF(M41=0,0,IFERROR((((M41)/(AVERAGE(N38,P38)))*4.3),"∞"))</f>
        <v>0</v>
      </c>
      <c r="N42" s="35">
        <f>IF(N41=0,0,IFERROR((((N41)/(AVERAGE(P38:Q38)))*4.3),"∞"))</f>
        <v>11.871372549019608</v>
      </c>
      <c r="O42" s="36"/>
      <c r="P42" s="35">
        <f>IF(P41=0,0,IFERROR((((P41)/(AVERAGE(Q38:R38)))*4.3),"∞"))</f>
        <v>12.592857142857142</v>
      </c>
      <c r="Q42" s="35">
        <f t="shared" ref="Q42:Y42" si="117">IF(Q41=0,0,IFERROR((((Q41)/(AVERAGE(R38:S38)))*4.3),"∞"))</f>
        <v>13.356424581005585</v>
      </c>
      <c r="R42" s="35">
        <f t="shared" si="117"/>
        <v>12.290181818181818</v>
      </c>
      <c r="S42" s="35">
        <f t="shared" si="117"/>
        <v>15.2392</v>
      </c>
      <c r="T42" s="35">
        <f t="shared" si="117"/>
        <v>10.9392</v>
      </c>
      <c r="U42" s="35">
        <f t="shared" si="117"/>
        <v>6.6391999999999998</v>
      </c>
      <c r="V42" s="35">
        <f t="shared" si="117"/>
        <v>5.7792000000000003</v>
      </c>
      <c r="W42" s="35">
        <f t="shared" si="117"/>
        <v>5.4657777777777774</v>
      </c>
      <c r="X42" s="35">
        <f t="shared" si="117"/>
        <v>0.77399999999999991</v>
      </c>
      <c r="Y42" s="35">
        <f t="shared" si="117"/>
        <v>1.849</v>
      </c>
      <c r="Z42" s="35">
        <f>IF(Z41=0,0,IFERROR((((Z41)/(AVERAGE(AA38,AC38)))*4.3),"∞"))</f>
        <v>2.9239999999999999</v>
      </c>
      <c r="AA42" s="35">
        <f>IF(AA41=0,0,IFERROR((((AA41)/(AVERAGE(AC38:AD38)))*4.3),"∞"))</f>
        <v>2.9239999999999999</v>
      </c>
      <c r="AB42" s="36"/>
      <c r="AC42" s="35">
        <f>IF(AC41=0,0,IFERROR((((AC41)/(AVERAGE(AD38:AE38)))*4.3),"∞"))</f>
        <v>2.895049504950495</v>
      </c>
      <c r="AD42" s="35">
        <f t="shared" ref="AD42" si="118">IF(AD41=0,0,IFERROR((((AD41)/(AVERAGE(AE38:AF38)))*4.3),"∞"))</f>
        <v>2.3607843137254902</v>
      </c>
      <c r="AE42" s="35">
        <f t="shared" ref="AE42" si="119">IF(AE41=0,0,IFERROR((((AE41)/(AVERAGE(AF38:AG38)))*4.3),"∞"))</f>
        <v>3.7098039215686276</v>
      </c>
      <c r="AF42" s="35">
        <f t="shared" ref="AF42" si="120">IF(AF41=0,0,IFERROR((((AF41)/(AVERAGE(AG38:AH38)))*4.3),"∞"))</f>
        <v>4.0807843137254896</v>
      </c>
      <c r="AG42" s="35">
        <f t="shared" ref="AG42" si="121">IF(AG41=0,0,IFERROR((((AG41)/(AVERAGE(AH38:AI38)))*4.3),"∞"))</f>
        <v>4.9407843137254899</v>
      </c>
      <c r="AH42" s="35">
        <f t="shared" ref="AH42" si="122">IF(AH41=0,0,IFERROR((((AH41)/(AVERAGE(AI38:AJ38)))*4.3),"∞"))</f>
        <v>5.8007843137254902</v>
      </c>
      <c r="AI42" s="35">
        <f t="shared" ref="AI42" si="123">IF(AI41=0,0,IFERROR((((AI41)/(AVERAGE(AJ38:AK38)))*4.3),"∞"))</f>
        <v>6.6607843137254905</v>
      </c>
      <c r="AJ42" s="35">
        <f t="shared" ref="AJ42" si="124">IF(AJ41=0,0,IFERROR((((AJ41)/(AVERAGE(AK38:AL38)))*4.3),"∞"))</f>
        <v>8.356427015250544</v>
      </c>
      <c r="AK42" s="35">
        <f t="shared" ref="AK42" si="125">IF(AK41=0,0,IFERROR((((AK41)/(AVERAGE(AL38:AM38)))*4.3),"∞"))</f>
        <v>10.475980392156861</v>
      </c>
      <c r="AL42" s="35">
        <f t="shared" ref="AL42" si="126">IF(AL41=0,0,IFERROR((((AL41)/(AVERAGE(AM38:AN38)))*4.3),"∞"))</f>
        <v>12.625980392156862</v>
      </c>
      <c r="AM42" s="35">
        <f>IF(AM41=0,0,IFERROR((((AM41)/(AVERAGE(AN38,AP38)))*4.3),"∞"))</f>
        <v>13.700980392156861</v>
      </c>
      <c r="AN42" s="35" t="str">
        <f>IF(AN41=0,0,IFERROR((((AN41)/(AVERAGE(AP38:AQ38)))*4.3),"∞"))</f>
        <v>∞</v>
      </c>
      <c r="AO42" s="36"/>
    </row>
    <row r="43" spans="1:41" s="23" customFormat="1" x14ac:dyDescent="0.35">
      <c r="A43" s="22"/>
      <c r="C43" s="74"/>
      <c r="D43" s="74"/>
      <c r="E43" s="74"/>
      <c r="F43" s="74"/>
      <c r="G43" s="74"/>
      <c r="H43" s="74"/>
      <c r="I43" s="74"/>
      <c r="J43" s="74"/>
      <c r="K43" s="24"/>
      <c r="L43" s="24"/>
      <c r="M43" s="24"/>
      <c r="N43" s="24"/>
      <c r="O43" s="25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5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5"/>
    </row>
  </sheetData>
  <mergeCells count="5">
    <mergeCell ref="A12:A18"/>
    <mergeCell ref="A20:A26"/>
    <mergeCell ref="A28:A34"/>
    <mergeCell ref="A4:A10"/>
    <mergeCell ref="A36:A42"/>
  </mergeCells>
  <conditionalFormatting sqref="C10:N10">
    <cfRule type="cellIs" dxfId="149" priority="100" operator="greaterThan">
      <formula>6</formula>
    </cfRule>
    <cfRule type="cellIs" dxfId="148" priority="96" operator="equal">
      <formula>0</formula>
    </cfRule>
    <cfRule type="cellIs" dxfId="147" priority="97" operator="lessThan">
      <formula>0</formula>
    </cfRule>
    <cfRule type="cellIs" dxfId="146" priority="98" operator="between">
      <formula>4</formula>
      <formula>6</formula>
    </cfRule>
    <cfRule type="cellIs" dxfId="145" priority="99" operator="lessThan">
      <formula>4</formula>
    </cfRule>
  </conditionalFormatting>
  <conditionalFormatting sqref="C18:N18">
    <cfRule type="cellIs" dxfId="144" priority="95" operator="greaterThan">
      <formula>6</formula>
    </cfRule>
    <cfRule type="cellIs" dxfId="143" priority="94" operator="lessThan">
      <formula>4</formula>
    </cfRule>
    <cfRule type="cellIs" dxfId="142" priority="93" operator="between">
      <formula>4</formula>
      <formula>6</formula>
    </cfRule>
    <cfRule type="cellIs" dxfId="141" priority="92" operator="lessThan">
      <formula>0</formula>
    </cfRule>
    <cfRule type="cellIs" dxfId="140" priority="91" operator="equal">
      <formula>0</formula>
    </cfRule>
  </conditionalFormatting>
  <conditionalFormatting sqref="C26:N26">
    <cfRule type="cellIs" dxfId="139" priority="79" operator="lessThan">
      <formula>4</formula>
    </cfRule>
    <cfRule type="cellIs" dxfId="138" priority="78" operator="between">
      <formula>4</formula>
      <formula>6</formula>
    </cfRule>
    <cfRule type="cellIs" dxfId="137" priority="77" operator="lessThan">
      <formula>0</formula>
    </cfRule>
    <cfRule type="cellIs" dxfId="136" priority="76" operator="equal">
      <formula>0</formula>
    </cfRule>
    <cfRule type="cellIs" dxfId="135" priority="80" operator="greaterThan">
      <formula>6</formula>
    </cfRule>
  </conditionalFormatting>
  <conditionalFormatting sqref="C34:N34">
    <cfRule type="cellIs" dxfId="134" priority="70" operator="greaterThan">
      <formula>6</formula>
    </cfRule>
    <cfRule type="cellIs" dxfId="133" priority="69" operator="lessThan">
      <formula>4</formula>
    </cfRule>
    <cfRule type="cellIs" dxfId="132" priority="68" operator="between">
      <formula>4</formula>
      <formula>6</formula>
    </cfRule>
    <cfRule type="cellIs" dxfId="131" priority="67" operator="lessThan">
      <formula>0</formula>
    </cfRule>
    <cfRule type="cellIs" dxfId="130" priority="66" operator="equal">
      <formula>0</formula>
    </cfRule>
  </conditionalFormatting>
  <conditionalFormatting sqref="C42:N42">
    <cfRule type="cellIs" dxfId="129" priority="56" operator="equal">
      <formula>0</formula>
    </cfRule>
    <cfRule type="cellIs" dxfId="128" priority="57" operator="lessThan">
      <formula>0</formula>
    </cfRule>
    <cfRule type="cellIs" dxfId="127" priority="58" operator="between">
      <formula>4</formula>
      <formula>6</formula>
    </cfRule>
    <cfRule type="cellIs" dxfId="126" priority="59" operator="lessThan">
      <formula>4</formula>
    </cfRule>
    <cfRule type="cellIs" dxfId="125" priority="60" operator="greaterThan">
      <formula>6</formula>
    </cfRule>
  </conditionalFormatting>
  <conditionalFormatting sqref="P10:AA10">
    <cfRule type="cellIs" dxfId="124" priority="90" operator="greaterThan">
      <formula>6</formula>
    </cfRule>
    <cfRule type="cellIs" dxfId="123" priority="89" operator="lessThan">
      <formula>4</formula>
    </cfRule>
    <cfRule type="cellIs" dxfId="122" priority="88" operator="between">
      <formula>4</formula>
      <formula>6</formula>
    </cfRule>
    <cfRule type="cellIs" dxfId="121" priority="87" operator="lessThan">
      <formula>0</formula>
    </cfRule>
    <cfRule type="cellIs" dxfId="120" priority="86" operator="equal">
      <formula>0</formula>
    </cfRule>
  </conditionalFormatting>
  <conditionalFormatting sqref="P18:AA18">
    <cfRule type="cellIs" dxfId="119" priority="82" operator="lessThan">
      <formula>0</formula>
    </cfRule>
    <cfRule type="cellIs" dxfId="118" priority="85" operator="greaterThan">
      <formula>6</formula>
    </cfRule>
    <cfRule type="cellIs" dxfId="117" priority="84" operator="lessThan">
      <formula>4</formula>
    </cfRule>
    <cfRule type="cellIs" dxfId="116" priority="83" operator="between">
      <formula>4</formula>
      <formula>6</formula>
    </cfRule>
    <cfRule type="cellIs" dxfId="115" priority="81" operator="equal">
      <formula>0</formula>
    </cfRule>
  </conditionalFormatting>
  <conditionalFormatting sqref="P26:AA26">
    <cfRule type="cellIs" dxfId="114" priority="74" operator="lessThan">
      <formula>4</formula>
    </cfRule>
    <cfRule type="cellIs" dxfId="113" priority="72" operator="lessThan">
      <formula>0</formula>
    </cfRule>
    <cfRule type="cellIs" dxfId="112" priority="73" operator="between">
      <formula>4</formula>
      <formula>6</formula>
    </cfRule>
    <cfRule type="cellIs" dxfId="111" priority="71" operator="equal">
      <formula>0</formula>
    </cfRule>
    <cfRule type="cellIs" dxfId="110" priority="75" operator="greaterThan">
      <formula>6</formula>
    </cfRule>
  </conditionalFormatting>
  <conditionalFormatting sqref="P34:AA34">
    <cfRule type="cellIs" dxfId="109" priority="61" operator="equal">
      <formula>0</formula>
    </cfRule>
    <cfRule type="cellIs" dxfId="108" priority="62" operator="lessThan">
      <formula>0</formula>
    </cfRule>
    <cfRule type="cellIs" dxfId="107" priority="63" operator="between">
      <formula>4</formula>
      <formula>6</formula>
    </cfRule>
    <cfRule type="cellIs" dxfId="106" priority="64" operator="lessThan">
      <formula>4</formula>
    </cfRule>
    <cfRule type="cellIs" dxfId="105" priority="65" operator="greaterThan">
      <formula>6</formula>
    </cfRule>
  </conditionalFormatting>
  <conditionalFormatting sqref="P42:AA42">
    <cfRule type="cellIs" dxfId="104" priority="54" operator="lessThan">
      <formula>4</formula>
    </cfRule>
    <cfRule type="cellIs" dxfId="103" priority="55" operator="greaterThan">
      <formula>6</formula>
    </cfRule>
    <cfRule type="cellIs" dxfId="102" priority="53" operator="between">
      <formula>4</formula>
      <formula>6</formula>
    </cfRule>
    <cfRule type="cellIs" dxfId="101" priority="52" operator="lessThan">
      <formula>0</formula>
    </cfRule>
    <cfRule type="cellIs" dxfId="100" priority="51" operator="equal">
      <formula>0</formula>
    </cfRule>
  </conditionalFormatting>
  <conditionalFormatting sqref="AC10:AN10">
    <cfRule type="cellIs" dxfId="99" priority="24" operator="lessThan">
      <formula>4</formula>
    </cfRule>
    <cfRule type="cellIs" dxfId="98" priority="23" operator="between">
      <formula>4</formula>
      <formula>6</formula>
    </cfRule>
    <cfRule type="cellIs" dxfId="97" priority="22" operator="lessThan">
      <formula>0</formula>
    </cfRule>
    <cfRule type="cellIs" dxfId="96" priority="21" operator="equal">
      <formula>0</formula>
    </cfRule>
    <cfRule type="cellIs" dxfId="95" priority="25" operator="greaterThan">
      <formula>6</formula>
    </cfRule>
  </conditionalFormatting>
  <conditionalFormatting sqref="AC18:AN18">
    <cfRule type="cellIs" dxfId="94" priority="20" operator="greaterThan">
      <formula>6</formula>
    </cfRule>
    <cfRule type="cellIs" dxfId="93" priority="18" operator="between">
      <formula>4</formula>
      <formula>6</formula>
    </cfRule>
    <cfRule type="cellIs" dxfId="92" priority="17" operator="lessThan">
      <formula>0</formula>
    </cfRule>
    <cfRule type="cellIs" dxfId="91" priority="16" operator="equal">
      <formula>0</formula>
    </cfRule>
    <cfRule type="cellIs" dxfId="90" priority="19" operator="lessThan">
      <formula>4</formula>
    </cfRule>
  </conditionalFormatting>
  <conditionalFormatting sqref="AC26:AN26">
    <cfRule type="cellIs" dxfId="89" priority="15" operator="greaterThan">
      <formula>6</formula>
    </cfRule>
    <cfRule type="cellIs" dxfId="88" priority="14" operator="lessThan">
      <formula>4</formula>
    </cfRule>
    <cfRule type="cellIs" dxfId="87" priority="13" operator="between">
      <formula>4</formula>
      <formula>6</formula>
    </cfRule>
    <cfRule type="cellIs" dxfId="86" priority="12" operator="lessThan">
      <formula>0</formula>
    </cfRule>
    <cfRule type="cellIs" dxfId="85" priority="11" operator="equal">
      <formula>0</formula>
    </cfRule>
  </conditionalFormatting>
  <conditionalFormatting sqref="AC34:AN34">
    <cfRule type="cellIs" dxfId="84" priority="9" operator="lessThan">
      <formula>4</formula>
    </cfRule>
    <cfRule type="cellIs" dxfId="83" priority="8" operator="between">
      <formula>4</formula>
      <formula>6</formula>
    </cfRule>
    <cfRule type="cellIs" dxfId="82" priority="7" operator="lessThan">
      <formula>0</formula>
    </cfRule>
    <cfRule type="cellIs" dxfId="81" priority="6" operator="equal">
      <formula>0</formula>
    </cfRule>
    <cfRule type="cellIs" dxfId="80" priority="10" operator="greaterThan">
      <formula>6</formula>
    </cfRule>
  </conditionalFormatting>
  <conditionalFormatting sqref="AC42:AN42">
    <cfRule type="cellIs" dxfId="79" priority="1" operator="equal">
      <formula>0</formula>
    </cfRule>
    <cfRule type="cellIs" dxfId="78" priority="5" operator="greaterThan">
      <formula>6</formula>
    </cfRule>
    <cfRule type="cellIs" dxfId="77" priority="4" operator="lessThan">
      <formula>4</formula>
    </cfRule>
    <cfRule type="cellIs" dxfId="76" priority="3" operator="between">
      <formula>4</formula>
      <formula>6</formula>
    </cfRule>
    <cfRule type="cellIs" dxfId="75" priority="2" operator="lessThan">
      <formula>0</formula>
    </cfRule>
  </conditionalFormatting>
  <pageMargins left="0.7" right="0.7" top="0.75" bottom="0.75" header="0.3" footer="0.3"/>
  <headerFooter>
    <oddFooter>&amp;L_x000D_&amp;1#&amp;"Aptos"&amp;10&amp;K000000 Confidential External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2D12-0D92-4238-ABCE-E6E06E8733C3}">
  <sheetPr codeName="Sheet9">
    <tabColor theme="4" tint="0.59999389629810485"/>
  </sheetPr>
  <dimension ref="A1:AO42"/>
  <sheetViews>
    <sheetView zoomScale="51" zoomScaleNormal="90" workbookViewId="0">
      <pane xSplit="2" ySplit="2" topLeftCell="K27" activePane="bottomRight" state="frozen"/>
      <selection pane="topRight" activeCell="C1" sqref="C1"/>
      <selection pane="bottomLeft" activeCell="A3" sqref="A3"/>
      <selection pane="bottomRight" activeCell="AA41" sqref="AA41"/>
    </sheetView>
  </sheetViews>
  <sheetFormatPr defaultColWidth="8.81640625" defaultRowHeight="14.5" outlineLevelCol="1" x14ac:dyDescent="0.35"/>
  <cols>
    <col min="1" max="1" width="25.26953125" style="6" bestFit="1" customWidth="1"/>
    <col min="2" max="2" width="27.54296875" style="1" bestFit="1" customWidth="1"/>
    <col min="3" max="6" width="8.81640625" style="1" customWidth="1" outlineLevel="1"/>
    <col min="7" max="7" width="7.453125" style="1" customWidth="1" outlineLevel="1"/>
    <col min="8" max="10" width="8.26953125" style="1" customWidth="1" outlineLevel="1"/>
    <col min="11" max="14" width="8.81640625" style="1" customWidth="1" outlineLevel="1"/>
    <col min="15" max="15" width="10.26953125" style="2" bestFit="1" customWidth="1"/>
    <col min="16" max="18" width="8.81640625" style="1" customWidth="1" outlineLevel="1"/>
    <col min="19" max="27" width="9" style="1" customWidth="1" outlineLevel="1"/>
    <col min="28" max="28" width="10.26953125" style="1" bestFit="1" customWidth="1"/>
    <col min="29" max="29" width="8.81640625" style="1" hidden="1" customWidth="1" outlineLevel="1"/>
    <col min="30" max="31" width="0" style="1" hidden="1" customWidth="1" outlineLevel="1"/>
    <col min="32" max="40" width="9" style="1" hidden="1" customWidth="1" outlineLevel="1"/>
    <col min="41" max="41" width="10.26953125" style="1" bestFit="1" customWidth="1" collapsed="1"/>
    <col min="42" max="16384" width="8.81640625" style="1"/>
  </cols>
  <sheetData>
    <row r="1" spans="1:41" ht="15" thickBot="1" x14ac:dyDescent="0.4"/>
    <row r="2" spans="1:41" s="6" customFormat="1" ht="15" thickBot="1" x14ac:dyDescent="0.4">
      <c r="A2" s="6" t="s">
        <v>0</v>
      </c>
      <c r="C2" s="45">
        <v>45658</v>
      </c>
      <c r="D2" s="46">
        <v>45689</v>
      </c>
      <c r="E2" s="46">
        <v>45717</v>
      </c>
      <c r="F2" s="46">
        <v>45748</v>
      </c>
      <c r="G2" s="46">
        <v>45778</v>
      </c>
      <c r="H2" s="46">
        <v>45809</v>
      </c>
      <c r="I2" s="46">
        <v>45839</v>
      </c>
      <c r="J2" s="46">
        <v>45870</v>
      </c>
      <c r="K2" s="30">
        <v>45901</v>
      </c>
      <c r="L2" s="30">
        <v>45931</v>
      </c>
      <c r="M2" s="30">
        <v>45962</v>
      </c>
      <c r="N2" s="30">
        <v>45992</v>
      </c>
      <c r="O2" s="31" t="s">
        <v>1</v>
      </c>
      <c r="P2" s="29">
        <v>46023</v>
      </c>
      <c r="Q2" s="30">
        <v>46054</v>
      </c>
      <c r="R2" s="30">
        <v>46082</v>
      </c>
      <c r="S2" s="30">
        <v>46113</v>
      </c>
      <c r="T2" s="30">
        <v>46143</v>
      </c>
      <c r="U2" s="30">
        <v>46174</v>
      </c>
      <c r="V2" s="30">
        <v>46204</v>
      </c>
      <c r="W2" s="30">
        <v>46235</v>
      </c>
      <c r="X2" s="30">
        <v>46266</v>
      </c>
      <c r="Y2" s="30">
        <v>46296</v>
      </c>
      <c r="Z2" s="30">
        <v>46327</v>
      </c>
      <c r="AA2" s="30">
        <v>46357</v>
      </c>
      <c r="AB2" s="31" t="s">
        <v>2</v>
      </c>
      <c r="AC2" s="29">
        <v>46388</v>
      </c>
      <c r="AD2" s="30">
        <v>46419</v>
      </c>
      <c r="AE2" s="30">
        <v>46447</v>
      </c>
      <c r="AF2" s="30">
        <v>46478</v>
      </c>
      <c r="AG2" s="30">
        <v>46508</v>
      </c>
      <c r="AH2" s="30">
        <v>46539</v>
      </c>
      <c r="AI2" s="30">
        <v>46569</v>
      </c>
      <c r="AJ2" s="30">
        <v>46600</v>
      </c>
      <c r="AK2" s="30">
        <v>46631</v>
      </c>
      <c r="AL2" s="30">
        <v>46661</v>
      </c>
      <c r="AM2" s="30">
        <v>46692</v>
      </c>
      <c r="AN2" s="30">
        <v>46722</v>
      </c>
      <c r="AO2" s="31" t="s">
        <v>3</v>
      </c>
    </row>
    <row r="3" spans="1:41" x14ac:dyDescent="0.35">
      <c r="A3" s="162" t="str">
        <f>'IMS vs FRCST'!B3</f>
        <v>Al Fakher Grapes &amp; Mint 1kg</v>
      </c>
      <c r="B3" s="21" t="s">
        <v>53</v>
      </c>
      <c r="C3" s="70">
        <v>0</v>
      </c>
      <c r="D3" s="70">
        <f>C8</f>
        <v>47</v>
      </c>
      <c r="E3" s="70">
        <v>0</v>
      </c>
      <c r="F3" s="70">
        <f t="shared" ref="F3:N3" si="0">E8</f>
        <v>351</v>
      </c>
      <c r="G3" s="70">
        <f t="shared" si="0"/>
        <v>144</v>
      </c>
      <c r="H3" s="70">
        <f t="shared" si="0"/>
        <v>0</v>
      </c>
      <c r="I3" s="70">
        <f t="shared" si="0"/>
        <v>304</v>
      </c>
      <c r="J3" s="76">
        <f t="shared" si="0"/>
        <v>313</v>
      </c>
      <c r="K3" s="32">
        <f t="shared" si="0"/>
        <v>141</v>
      </c>
      <c r="L3" s="32">
        <f t="shared" si="0"/>
        <v>158</v>
      </c>
      <c r="M3" s="32">
        <f t="shared" si="0"/>
        <v>101</v>
      </c>
      <c r="N3" s="32">
        <f t="shared" si="0"/>
        <v>0</v>
      </c>
      <c r="O3" s="33"/>
      <c r="P3" s="32">
        <f>N8</f>
        <v>738</v>
      </c>
      <c r="Q3" s="32">
        <f>P8</f>
        <v>446</v>
      </c>
      <c r="R3" s="32">
        <f t="shared" ref="R3:Z3" si="1">Q8</f>
        <v>362</v>
      </c>
      <c r="S3" s="32">
        <f t="shared" si="1"/>
        <v>497</v>
      </c>
      <c r="T3" s="32">
        <f t="shared" si="1"/>
        <v>627</v>
      </c>
      <c r="U3" s="32">
        <f t="shared" si="1"/>
        <v>327</v>
      </c>
      <c r="V3" s="32">
        <f t="shared" si="1"/>
        <v>327</v>
      </c>
      <c r="W3" s="32">
        <f t="shared" si="1"/>
        <v>327</v>
      </c>
      <c r="X3" s="32">
        <f t="shared" si="1"/>
        <v>227</v>
      </c>
      <c r="Y3" s="32">
        <f t="shared" si="1"/>
        <v>227</v>
      </c>
      <c r="Z3" s="32">
        <f t="shared" si="1"/>
        <v>277</v>
      </c>
      <c r="AA3" s="32">
        <f>Z8</f>
        <v>277</v>
      </c>
      <c r="AB3" s="33"/>
      <c r="AC3" s="32">
        <f>AA8</f>
        <v>277</v>
      </c>
      <c r="AD3" s="32">
        <f>AC8</f>
        <v>277</v>
      </c>
      <c r="AE3" s="32">
        <f t="shared" ref="AE3:AN3" si="2">AD8</f>
        <v>277</v>
      </c>
      <c r="AF3" s="32">
        <f t="shared" si="2"/>
        <v>317.79999999999995</v>
      </c>
      <c r="AG3" s="32">
        <f t="shared" si="2"/>
        <v>348.4</v>
      </c>
      <c r="AH3" s="32">
        <f t="shared" si="2"/>
        <v>348.4</v>
      </c>
      <c r="AI3" s="32">
        <f t="shared" si="2"/>
        <v>348.4</v>
      </c>
      <c r="AJ3" s="32">
        <f t="shared" si="2"/>
        <v>348.4</v>
      </c>
      <c r="AK3" s="32">
        <f t="shared" si="2"/>
        <v>348.4</v>
      </c>
      <c r="AL3" s="32">
        <f t="shared" si="2"/>
        <v>297.39999999999998</v>
      </c>
      <c r="AM3" s="32">
        <f t="shared" si="2"/>
        <v>297.39999999999998</v>
      </c>
      <c r="AN3" s="32">
        <f t="shared" si="2"/>
        <v>297.39999999999998</v>
      </c>
      <c r="AO3" s="33"/>
    </row>
    <row r="4" spans="1:41" x14ac:dyDescent="0.35">
      <c r="A4" s="163"/>
      <c r="B4" s="4" t="s">
        <v>54</v>
      </c>
      <c r="C4" s="71"/>
      <c r="D4" s="71"/>
      <c r="E4" s="71"/>
      <c r="F4" s="71"/>
      <c r="G4" s="71"/>
      <c r="H4" s="71"/>
      <c r="I4" s="71"/>
      <c r="J4" s="71"/>
      <c r="K4" s="27"/>
      <c r="L4" s="27"/>
      <c r="M4" s="27"/>
      <c r="N4" s="27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6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6"/>
    </row>
    <row r="5" spans="1:41" s="6" customFormat="1" x14ac:dyDescent="0.35">
      <c r="A5" s="163"/>
      <c r="B5" s="42" t="s">
        <v>55</v>
      </c>
      <c r="C5" s="44">
        <f>'IMS vs FRCST'!C3</f>
        <v>203</v>
      </c>
      <c r="D5" s="44">
        <f>'IMS vs FRCST'!D3</f>
        <v>47</v>
      </c>
      <c r="E5" s="44">
        <f>'IMS vs FRCST'!E3</f>
        <v>419</v>
      </c>
      <c r="F5" s="44">
        <f>'IMS vs FRCST'!F3</f>
        <v>207</v>
      </c>
      <c r="G5" s="44">
        <f>'IMS vs FRCST'!G3</f>
        <v>144</v>
      </c>
      <c r="H5" s="44">
        <f>'IMS vs FRCST'!H3</f>
        <v>156</v>
      </c>
      <c r="I5" s="44">
        <f>'IMS vs FRCST'!I3</f>
        <v>495</v>
      </c>
      <c r="J5" s="44">
        <f>'IMS vs FRCST'!J3</f>
        <v>172</v>
      </c>
      <c r="K5" s="43">
        <f>'IMS vs FRCST'!K3</f>
        <v>244</v>
      </c>
      <c r="L5" s="43">
        <f>'IMS vs FRCST'!L3</f>
        <v>637</v>
      </c>
      <c r="M5" s="43">
        <f>'IMS vs FRCST'!M3</f>
        <v>101</v>
      </c>
      <c r="N5" s="43">
        <f>'IMS vs FRCST'!N3</f>
        <v>2</v>
      </c>
      <c r="O5" s="26">
        <f>SUM(C5:N5)</f>
        <v>2827</v>
      </c>
      <c r="P5" s="28">
        <f>'IMS vs FRCST'!P3</f>
        <v>292</v>
      </c>
      <c r="Q5" s="28">
        <f>'IMS vs FRCST'!Q3</f>
        <v>84</v>
      </c>
      <c r="R5" s="28">
        <f>'IMS vs FRCST'!R3</f>
        <v>65</v>
      </c>
      <c r="S5" s="28">
        <f>'IMS vs FRCST'!S3</f>
        <v>250</v>
      </c>
      <c r="T5" s="28">
        <f>'IMS vs FRCST'!T3</f>
        <v>300</v>
      </c>
      <c r="U5" s="28">
        <f>'IMS vs FRCST'!U3</f>
        <v>300</v>
      </c>
      <c r="V5" s="28">
        <f>'IMS vs FRCST'!V3</f>
        <v>300</v>
      </c>
      <c r="W5" s="28">
        <f>'IMS vs FRCST'!W3</f>
        <v>300</v>
      </c>
      <c r="X5" s="28">
        <f>'IMS vs FRCST'!X3</f>
        <v>300</v>
      </c>
      <c r="Y5" s="28">
        <f>'IMS vs FRCST'!Y3</f>
        <v>250</v>
      </c>
      <c r="Z5" s="28">
        <f>'IMS vs FRCST'!Z3</f>
        <v>250</v>
      </c>
      <c r="AA5" s="28">
        <f>'IMS vs FRCST'!AA3</f>
        <v>250</v>
      </c>
      <c r="AB5" s="26">
        <f>SUM(P5:AA5)</f>
        <v>2941</v>
      </c>
      <c r="AC5" s="28">
        <f>'IMS vs FRCST'!AC3</f>
        <v>250</v>
      </c>
      <c r="AD5" s="28">
        <f>'IMS vs FRCST'!AD3</f>
        <v>230</v>
      </c>
      <c r="AE5" s="28">
        <f>'IMS vs FRCST'!AE3</f>
        <v>204</v>
      </c>
      <c r="AF5" s="28">
        <f>'IMS vs FRCST'!AF3</f>
        <v>255</v>
      </c>
      <c r="AG5" s="28">
        <f>'IMS vs FRCST'!AG3</f>
        <v>306</v>
      </c>
      <c r="AH5" s="28">
        <f>'IMS vs FRCST'!AH3</f>
        <v>306</v>
      </c>
      <c r="AI5" s="28">
        <f>'IMS vs FRCST'!AI3</f>
        <v>306</v>
      </c>
      <c r="AJ5" s="28">
        <f>'IMS vs FRCST'!AJ3</f>
        <v>306</v>
      </c>
      <c r="AK5" s="28">
        <f>'IMS vs FRCST'!AK3</f>
        <v>306</v>
      </c>
      <c r="AL5" s="28">
        <f>'IMS vs FRCST'!AL3</f>
        <v>255</v>
      </c>
      <c r="AM5" s="28">
        <f>'IMS vs FRCST'!AM3</f>
        <v>255</v>
      </c>
      <c r="AN5" s="28">
        <f>'IMS vs FRCST'!AN3</f>
        <v>255</v>
      </c>
      <c r="AO5" s="26">
        <f>SUM(AC5:AN5)</f>
        <v>3234</v>
      </c>
    </row>
    <row r="6" spans="1:41" x14ac:dyDescent="0.35">
      <c r="A6" s="163"/>
      <c r="B6" s="4" t="s">
        <v>56</v>
      </c>
      <c r="C6" s="71">
        <f>'Shipment (Production)'!G4</f>
        <v>250</v>
      </c>
      <c r="D6" s="71">
        <f>'Shipment (Production)'!L4</f>
        <v>0</v>
      </c>
      <c r="E6" s="71">
        <f>'Shipment (Production)'!Q4</f>
        <v>770</v>
      </c>
      <c r="F6" s="71">
        <f>'Shipment (Production)'!V4</f>
        <v>0</v>
      </c>
      <c r="G6" s="71">
        <f>'Shipment (Production)'!AA4</f>
        <v>0</v>
      </c>
      <c r="H6" s="71">
        <f>'Shipment (Production)'!AF4</f>
        <v>964</v>
      </c>
      <c r="I6" s="71">
        <f>'Shipment (Production)'!AK4</f>
        <v>0</v>
      </c>
      <c r="J6" s="71">
        <f>'Shipment (Production)'!AP4</f>
        <v>261</v>
      </c>
      <c r="K6" s="27">
        <f>'Shipment (Production)'!AU4</f>
        <v>580</v>
      </c>
      <c r="L6" s="27">
        <f>'Shipment (Production)'!AZ4</f>
        <v>0</v>
      </c>
      <c r="M6" s="27">
        <f>'Shipment (Production)'!BE4</f>
        <v>243</v>
      </c>
      <c r="N6" s="27">
        <f>'Shipment (Production)'!BJ4</f>
        <v>497</v>
      </c>
      <c r="O6" s="26">
        <f>SUM(C6:N6)</f>
        <v>3565</v>
      </c>
      <c r="P6" s="27">
        <f>'Shipment (Production)'!BP4</f>
        <v>0</v>
      </c>
      <c r="Q6" s="27">
        <f>'Shipment (Production)'!BU4</f>
        <v>200</v>
      </c>
      <c r="R6" s="27">
        <f>'Shipment (Production)'!BZ4</f>
        <v>380</v>
      </c>
      <c r="S6" s="27">
        <f>'Shipment (Production)'!CE4</f>
        <v>0</v>
      </c>
      <c r="T6" s="27">
        <f>'Shipment (Production)'!CJ4</f>
        <v>300</v>
      </c>
      <c r="U6" s="27">
        <f>'Shipment (Production)'!CO4</f>
        <v>300</v>
      </c>
      <c r="V6" s="27">
        <f>'Shipment (Production)'!CT4</f>
        <v>200</v>
      </c>
      <c r="W6" s="27">
        <f>'Shipment (Production)'!CY4</f>
        <v>300</v>
      </c>
      <c r="X6" s="27">
        <f>'Shipment (Production)'!DD4</f>
        <v>300</v>
      </c>
      <c r="Y6" s="27">
        <f>'Shipment (Production)'!DI4</f>
        <v>250</v>
      </c>
      <c r="Z6" s="27">
        <f>'Shipment (Production)'!DN4</f>
        <v>250</v>
      </c>
      <c r="AA6" s="27">
        <f>'Shipment (Production)'!DS4</f>
        <v>0</v>
      </c>
      <c r="AB6" s="26">
        <f>SUM(P6:AA6)</f>
        <v>2480</v>
      </c>
      <c r="AC6" s="27">
        <f>'Shipment (Production)'!DY4</f>
        <v>250</v>
      </c>
      <c r="AD6" s="27">
        <f>'Shipment (Production)'!DZ4</f>
        <v>230</v>
      </c>
      <c r="AE6" s="27">
        <f>'Shipment (Production)'!EI4</f>
        <v>244.8</v>
      </c>
      <c r="AF6" s="27">
        <f>'Shipment (Production)'!EN4</f>
        <v>285.60000000000002</v>
      </c>
      <c r="AG6" s="27">
        <f>'Shipment (Production)'!ES4</f>
        <v>306</v>
      </c>
      <c r="AH6" s="27">
        <f>'Shipment (Production)'!EX4</f>
        <v>306</v>
      </c>
      <c r="AI6" s="27">
        <f>'Shipment (Production)'!FC4</f>
        <v>306</v>
      </c>
      <c r="AJ6" s="27">
        <f>'Shipment (Production)'!FH4</f>
        <v>306</v>
      </c>
      <c r="AK6" s="27">
        <f>'Shipment (Production)'!FM4</f>
        <v>255</v>
      </c>
      <c r="AL6" s="27">
        <f>'Shipment (Production)'!FR4</f>
        <v>255</v>
      </c>
      <c r="AM6" s="27">
        <f>'Shipment (Production)'!FW4</f>
        <v>255</v>
      </c>
      <c r="AN6" s="27">
        <f>'Shipment (Production)'!GB4</f>
        <v>255</v>
      </c>
      <c r="AO6" s="26">
        <f>SUM(AC6:AN6)</f>
        <v>3254.4</v>
      </c>
    </row>
    <row r="7" spans="1:41" x14ac:dyDescent="0.35">
      <c r="A7" s="163"/>
      <c r="B7" s="4" t="s">
        <v>57</v>
      </c>
      <c r="C7" s="71">
        <f>'Arrival to Regie'!G4</f>
        <v>250</v>
      </c>
      <c r="D7" s="71">
        <f>'Arrival to Regie'!L4</f>
        <v>0</v>
      </c>
      <c r="E7" s="71">
        <f>'Arrival to Regie'!Q4</f>
        <v>770</v>
      </c>
      <c r="F7" s="71">
        <v>0</v>
      </c>
      <c r="G7" s="71">
        <f>'Arrival to Regie'!AA4</f>
        <v>0</v>
      </c>
      <c r="H7" s="71">
        <f>'Arrival to Regie'!AF4</f>
        <v>460</v>
      </c>
      <c r="I7" s="71">
        <f>'Arrival to Regie'!AK4</f>
        <v>504</v>
      </c>
      <c r="J7" s="71">
        <f>'Arrival to Regie'!AP4</f>
        <v>0</v>
      </c>
      <c r="K7" s="27">
        <f>'Arrival to Regie'!AU4</f>
        <v>261</v>
      </c>
      <c r="L7" s="27">
        <f>'Arrival to Regie'!AZ4</f>
        <v>580</v>
      </c>
      <c r="M7" s="27">
        <f>'Arrival to Regie'!BE4</f>
        <v>0</v>
      </c>
      <c r="N7" s="27">
        <f>'Arrival to Regie'!BJ4</f>
        <v>740</v>
      </c>
      <c r="O7" s="26">
        <f>SUM(C7:N7)</f>
        <v>3565</v>
      </c>
      <c r="P7" s="27">
        <f>'Arrival to Regie'!BP4</f>
        <v>0</v>
      </c>
      <c r="Q7" s="27">
        <f>'Arrival to Regie'!BU4</f>
        <v>0</v>
      </c>
      <c r="R7" s="27">
        <f>'Arrival to Regie'!BZ4</f>
        <v>200</v>
      </c>
      <c r="S7" s="27">
        <f>'Arrival to Regie'!CE4</f>
        <v>380</v>
      </c>
      <c r="T7" s="27">
        <f>'Arrival to Regie'!CJ4</f>
        <v>0</v>
      </c>
      <c r="U7" s="27">
        <f>'Arrival to Regie'!CO4</f>
        <v>300</v>
      </c>
      <c r="V7" s="27">
        <f>'Arrival to Regie'!CT4</f>
        <v>300</v>
      </c>
      <c r="W7" s="27">
        <f>'Arrival to Regie'!CY4</f>
        <v>200</v>
      </c>
      <c r="X7" s="27">
        <f>'Arrival to Regie'!DD4</f>
        <v>300</v>
      </c>
      <c r="Y7" s="27">
        <f>'Arrival to Regie'!DI4</f>
        <v>300</v>
      </c>
      <c r="Z7" s="27">
        <f>'Arrival to Regie'!DN4</f>
        <v>250</v>
      </c>
      <c r="AA7" s="27">
        <f>'Arrival to Regie'!DS4</f>
        <v>250</v>
      </c>
      <c r="AB7" s="26">
        <f>SUM(P7:AA7)</f>
        <v>2480</v>
      </c>
      <c r="AC7" s="27">
        <f>'Arrival to Regie'!DY4</f>
        <v>250</v>
      </c>
      <c r="AD7" s="27">
        <f>'Arrival to Regie'!ED4</f>
        <v>230</v>
      </c>
      <c r="AE7" s="27">
        <f>'Arrival to Regie'!EI4</f>
        <v>244.8</v>
      </c>
      <c r="AF7" s="27">
        <f>'Arrival to Regie'!EN4</f>
        <v>285.60000000000002</v>
      </c>
      <c r="AG7" s="27">
        <f>'Arrival to Regie'!ES4</f>
        <v>306</v>
      </c>
      <c r="AH7" s="27">
        <f>'Arrival to Regie'!EX4</f>
        <v>306</v>
      </c>
      <c r="AI7" s="27">
        <f>'Arrival to Regie'!FC4</f>
        <v>306</v>
      </c>
      <c r="AJ7" s="27">
        <f>'Arrival to Regie'!FH4</f>
        <v>306</v>
      </c>
      <c r="AK7" s="27">
        <f>'Arrival to Regie'!FM4</f>
        <v>255</v>
      </c>
      <c r="AL7" s="27">
        <f>'Arrival to Regie'!FR4</f>
        <v>255</v>
      </c>
      <c r="AM7" s="27">
        <f>'Arrival to Regie'!FW4</f>
        <v>255</v>
      </c>
      <c r="AN7" s="27">
        <f>'Arrival to Regie'!GB4</f>
        <v>255</v>
      </c>
      <c r="AO7" s="26">
        <f>SUM(AC7:AN7)</f>
        <v>3254.4</v>
      </c>
    </row>
    <row r="8" spans="1:41" x14ac:dyDescent="0.35">
      <c r="A8" s="163"/>
      <c r="B8" s="47" t="s">
        <v>58</v>
      </c>
      <c r="C8" s="72">
        <f t="shared" ref="C8:AA8" si="3">C3+C4+C7-C5</f>
        <v>47</v>
      </c>
      <c r="D8" s="72">
        <f t="shared" si="3"/>
        <v>0</v>
      </c>
      <c r="E8" s="72">
        <f t="shared" si="3"/>
        <v>351</v>
      </c>
      <c r="F8" s="72">
        <f t="shared" si="3"/>
        <v>144</v>
      </c>
      <c r="G8" s="72">
        <f t="shared" si="3"/>
        <v>0</v>
      </c>
      <c r="H8" s="72">
        <f t="shared" si="3"/>
        <v>304</v>
      </c>
      <c r="I8" s="72">
        <f t="shared" si="3"/>
        <v>313</v>
      </c>
      <c r="J8" s="72">
        <f t="shared" si="3"/>
        <v>141</v>
      </c>
      <c r="K8" s="48">
        <f t="shared" si="3"/>
        <v>158</v>
      </c>
      <c r="L8" s="48">
        <f t="shared" si="3"/>
        <v>101</v>
      </c>
      <c r="M8" s="48">
        <f t="shared" si="3"/>
        <v>0</v>
      </c>
      <c r="N8" s="48">
        <f t="shared" si="3"/>
        <v>738</v>
      </c>
      <c r="O8" s="26"/>
      <c r="P8" s="48">
        <f t="shared" si="3"/>
        <v>446</v>
      </c>
      <c r="Q8" s="48">
        <f t="shared" si="3"/>
        <v>362</v>
      </c>
      <c r="R8" s="48">
        <f t="shared" si="3"/>
        <v>497</v>
      </c>
      <c r="S8" s="48">
        <f t="shared" si="3"/>
        <v>627</v>
      </c>
      <c r="T8" s="48">
        <f t="shared" si="3"/>
        <v>327</v>
      </c>
      <c r="U8" s="48">
        <f t="shared" si="3"/>
        <v>327</v>
      </c>
      <c r="V8" s="48">
        <f t="shared" si="3"/>
        <v>327</v>
      </c>
      <c r="W8" s="48">
        <f t="shared" si="3"/>
        <v>227</v>
      </c>
      <c r="X8" s="48">
        <f t="shared" si="3"/>
        <v>227</v>
      </c>
      <c r="Y8" s="48">
        <f t="shared" si="3"/>
        <v>277</v>
      </c>
      <c r="Z8" s="48">
        <f t="shared" si="3"/>
        <v>277</v>
      </c>
      <c r="AA8" s="48">
        <f t="shared" si="3"/>
        <v>277</v>
      </c>
      <c r="AB8" s="26"/>
      <c r="AC8" s="48">
        <f t="shared" ref="AC8:AN8" si="4">AC3+AC4+AC7-AC5</f>
        <v>277</v>
      </c>
      <c r="AD8" s="48">
        <f t="shared" si="4"/>
        <v>277</v>
      </c>
      <c r="AE8" s="48">
        <f t="shared" si="4"/>
        <v>317.79999999999995</v>
      </c>
      <c r="AF8" s="48">
        <f t="shared" si="4"/>
        <v>348.4</v>
      </c>
      <c r="AG8" s="48">
        <f t="shared" si="4"/>
        <v>348.4</v>
      </c>
      <c r="AH8" s="48">
        <f t="shared" si="4"/>
        <v>348.4</v>
      </c>
      <c r="AI8" s="48">
        <f t="shared" si="4"/>
        <v>348.4</v>
      </c>
      <c r="AJ8" s="48">
        <f t="shared" si="4"/>
        <v>348.4</v>
      </c>
      <c r="AK8" s="48">
        <f t="shared" si="4"/>
        <v>297.39999999999998</v>
      </c>
      <c r="AL8" s="48">
        <f t="shared" si="4"/>
        <v>297.39999999999998</v>
      </c>
      <c r="AM8" s="48">
        <f t="shared" si="4"/>
        <v>297.39999999999998</v>
      </c>
      <c r="AN8" s="48">
        <f t="shared" si="4"/>
        <v>297.39999999999998</v>
      </c>
      <c r="AO8" s="26"/>
    </row>
    <row r="9" spans="1:41" ht="15" thickBot="1" x14ac:dyDescent="0.4">
      <c r="A9" s="164"/>
      <c r="B9" s="34" t="s">
        <v>59</v>
      </c>
      <c r="C9" s="35">
        <f>IF(C8=0,0,IFERROR((((C8)/(AVERAGE(D5:E5)))*4.3),"∞"))</f>
        <v>0.86738197424892693</v>
      </c>
      <c r="D9" s="35">
        <f t="shared" ref="D9:L9" si="5">IF(D8=0,0,IFERROR((((D8)/(AVERAGE(E5:F5)))*4.3),"∞"))</f>
        <v>0</v>
      </c>
      <c r="E9" s="35">
        <f t="shared" si="5"/>
        <v>8.6</v>
      </c>
      <c r="F9" s="35">
        <f t="shared" si="5"/>
        <v>4.1280000000000001</v>
      </c>
      <c r="G9" s="35">
        <f t="shared" si="5"/>
        <v>0</v>
      </c>
      <c r="H9" s="35">
        <f t="shared" si="5"/>
        <v>3.9196401799100449</v>
      </c>
      <c r="I9" s="35">
        <f t="shared" si="5"/>
        <v>6.4706730769230765</v>
      </c>
      <c r="J9" s="35">
        <f t="shared" si="5"/>
        <v>1.3763904653802497</v>
      </c>
      <c r="K9" s="35">
        <f t="shared" si="5"/>
        <v>1.8411924119241192</v>
      </c>
      <c r="L9" s="35">
        <f t="shared" si="5"/>
        <v>8.4330097087378633</v>
      </c>
      <c r="M9" s="35">
        <f>IF(M8=0,0,IFERROR((((M8)/(AVERAGE(N5,P5)))*4.3),"∞"))</f>
        <v>0</v>
      </c>
      <c r="N9" s="35">
        <f>IF(N8=0,0,IFERROR((((N8)/(AVERAGE(P5:Q5)))*4.3),"∞"))</f>
        <v>16.879787234042553</v>
      </c>
      <c r="O9" s="36"/>
      <c r="P9" s="35">
        <f>IF(P8=0,0,IFERROR((((P8)/(AVERAGE(Q5:R5)))*4.3),"∞"))</f>
        <v>25.742281879194628</v>
      </c>
      <c r="Q9" s="35">
        <f t="shared" ref="Q9:Y9" si="6">IF(Q8=0,0,IFERROR((((Q8)/(AVERAGE(R5:S5)))*4.3),"∞"))</f>
        <v>9.8831746031746022</v>
      </c>
      <c r="R9" s="35">
        <f t="shared" si="6"/>
        <v>7.7712727272727271</v>
      </c>
      <c r="S9" s="35">
        <f t="shared" si="6"/>
        <v>8.9869999999999983</v>
      </c>
      <c r="T9" s="35">
        <f t="shared" si="6"/>
        <v>4.6870000000000003</v>
      </c>
      <c r="U9" s="35">
        <f t="shared" si="6"/>
        <v>4.6870000000000003</v>
      </c>
      <c r="V9" s="35">
        <f t="shared" si="6"/>
        <v>4.6870000000000003</v>
      </c>
      <c r="W9" s="35">
        <f t="shared" si="6"/>
        <v>3.5494545454545454</v>
      </c>
      <c r="X9" s="35">
        <f t="shared" si="6"/>
        <v>3.9043999999999999</v>
      </c>
      <c r="Y9" s="35">
        <f t="shared" si="6"/>
        <v>4.7644000000000002</v>
      </c>
      <c r="Z9" s="35">
        <f>IF(Z8=0,0,IFERROR((((Z8)/(AVERAGE(AA5,AC5)))*4.3),"∞"))</f>
        <v>4.7644000000000002</v>
      </c>
      <c r="AA9" s="35">
        <f>IF(AA8=0,0,IFERROR((((AA8)/(AVERAGE(AC5:AD5)))*4.3),"∞"))</f>
        <v>4.9629166666666658</v>
      </c>
      <c r="AB9" s="36"/>
      <c r="AC9" s="35">
        <f>IF(AC8=0,0,IFERROR((((AC8)/(AVERAGE(AD5:AE5)))*4.3),"∞"))</f>
        <v>5.4889400921658984</v>
      </c>
      <c r="AD9" s="35">
        <f t="shared" ref="AD9" si="7">IF(AD8=0,0,IFERROR((((AD8)/(AVERAGE(AE5:AF5)))*4.3),"∞"))</f>
        <v>5.1899782135076249</v>
      </c>
      <c r="AE9" s="35">
        <f t="shared" ref="AE9" si="8">IF(AE8=0,0,IFERROR((((AE8)/(AVERAGE(AF5:AG5)))*4.3),"∞"))</f>
        <v>4.8718003565062382</v>
      </c>
      <c r="AF9" s="35">
        <f t="shared" ref="AF9" si="9">IF(AF8=0,0,IFERROR((((AF8)/(AVERAGE(AG5:AH5)))*4.3),"∞"))</f>
        <v>4.8958169934640523</v>
      </c>
      <c r="AG9" s="35">
        <f t="shared" ref="AG9" si="10">IF(AG8=0,0,IFERROR((((AG8)/(AVERAGE(AH5:AI5)))*4.3),"∞"))</f>
        <v>4.8958169934640523</v>
      </c>
      <c r="AH9" s="35">
        <f t="shared" ref="AH9" si="11">IF(AH8=0,0,IFERROR((((AH8)/(AVERAGE(AI5:AJ5)))*4.3),"∞"))</f>
        <v>4.8958169934640523</v>
      </c>
      <c r="AI9" s="35">
        <f t="shared" ref="AI9" si="12">IF(AI8=0,0,IFERROR((((AI8)/(AVERAGE(AJ5:AK5)))*4.3),"∞"))</f>
        <v>4.8958169934640523</v>
      </c>
      <c r="AJ9" s="35">
        <f t="shared" ref="AJ9" si="13">IF(AJ8=0,0,IFERROR((((AJ8)/(AVERAGE(AK5:AL5)))*4.3),"∞"))</f>
        <v>5.340891265597147</v>
      </c>
      <c r="AK9" s="35">
        <f t="shared" ref="AK9" si="14">IF(AK8=0,0,IFERROR((((AK8)/(AVERAGE(AL5:AM5)))*4.3),"∞"))</f>
        <v>5.0149803921568621</v>
      </c>
      <c r="AL9" s="35">
        <f t="shared" ref="AL9" si="15">IF(AL8=0,0,IFERROR((((AL8)/(AVERAGE(AM5:AN5)))*4.3),"∞"))</f>
        <v>5.0149803921568621</v>
      </c>
      <c r="AM9" s="35">
        <f>IF(AM8=0,0,IFERROR((((AM8)/(AVERAGE(AN5,AP5)))*4.3),"∞"))</f>
        <v>5.0149803921568621</v>
      </c>
      <c r="AN9" s="35" t="str">
        <f>IF(AN8=0,0,IFERROR((((AN8)/(AVERAGE(AP5:AQ5)))*4.3),"∞"))</f>
        <v>∞</v>
      </c>
      <c r="AO9" s="36"/>
    </row>
    <row r="10" spans="1:41" s="23" customFormat="1" ht="15" thickBot="1" x14ac:dyDescent="0.4">
      <c r="A10" s="22"/>
      <c r="C10" s="74"/>
      <c r="D10" s="74"/>
      <c r="E10" s="74"/>
      <c r="F10" s="74"/>
      <c r="G10" s="74"/>
      <c r="H10" s="74"/>
      <c r="I10" s="74"/>
      <c r="J10" s="74"/>
      <c r="K10" s="24"/>
      <c r="L10" s="24"/>
      <c r="M10" s="24"/>
      <c r="N10" s="24"/>
      <c r="O10" s="25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7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74"/>
    </row>
    <row r="11" spans="1:41" ht="14.5" customHeight="1" x14ac:dyDescent="0.35">
      <c r="A11" s="162" t="str">
        <f>'IMS vs FRCST'!B4</f>
        <v>Al Fakher Grapes 1kg</v>
      </c>
      <c r="B11" s="21" t="s">
        <v>53</v>
      </c>
      <c r="C11" s="70">
        <v>0</v>
      </c>
      <c r="D11" s="70">
        <f>C16</f>
        <v>14</v>
      </c>
      <c r="E11" s="70">
        <v>0</v>
      </c>
      <c r="F11" s="70">
        <f t="shared" ref="F11:N11" si="16">E16</f>
        <v>-41</v>
      </c>
      <c r="G11" s="70">
        <f t="shared" si="16"/>
        <v>-47</v>
      </c>
      <c r="H11" s="70">
        <f t="shared" si="16"/>
        <v>-47</v>
      </c>
      <c r="I11" s="70">
        <f t="shared" si="16"/>
        <v>286</v>
      </c>
      <c r="J11" s="76">
        <f t="shared" si="16"/>
        <v>60</v>
      </c>
      <c r="K11" s="32">
        <f t="shared" si="16"/>
        <v>0</v>
      </c>
      <c r="L11" s="32">
        <f t="shared" si="16"/>
        <v>944</v>
      </c>
      <c r="M11" s="32">
        <f t="shared" si="16"/>
        <v>734</v>
      </c>
      <c r="N11" s="32">
        <f t="shared" si="16"/>
        <v>18</v>
      </c>
      <c r="O11" s="33"/>
      <c r="P11" s="32">
        <f>N16</f>
        <v>2778</v>
      </c>
      <c r="Q11" s="32">
        <f>P16</f>
        <v>2273</v>
      </c>
      <c r="R11" s="32">
        <f t="shared" ref="R11:AA11" si="17">Q16</f>
        <v>2158</v>
      </c>
      <c r="S11" s="32">
        <f t="shared" si="17"/>
        <v>2030</v>
      </c>
      <c r="T11" s="32">
        <f t="shared" si="17"/>
        <v>2330</v>
      </c>
      <c r="U11" s="32">
        <f t="shared" si="17"/>
        <v>2830</v>
      </c>
      <c r="V11" s="32">
        <f t="shared" si="17"/>
        <v>2930</v>
      </c>
      <c r="W11" s="32">
        <f t="shared" si="17"/>
        <v>2830</v>
      </c>
      <c r="X11" s="32">
        <f t="shared" si="17"/>
        <v>2330</v>
      </c>
      <c r="Y11" s="32">
        <f t="shared" si="17"/>
        <v>1830</v>
      </c>
      <c r="Z11" s="32">
        <f t="shared" si="17"/>
        <v>1330</v>
      </c>
      <c r="AA11" s="32">
        <f t="shared" si="17"/>
        <v>930</v>
      </c>
      <c r="AB11" s="33"/>
      <c r="AC11" s="32">
        <f>AA16</f>
        <v>500</v>
      </c>
      <c r="AD11" s="32">
        <f>AC16</f>
        <v>500</v>
      </c>
      <c r="AE11" s="32">
        <f t="shared" ref="AE11:AN11" si="18">AD16</f>
        <v>500</v>
      </c>
      <c r="AF11" s="32">
        <f t="shared" si="18"/>
        <v>704</v>
      </c>
      <c r="AG11" s="32">
        <f t="shared" si="18"/>
        <v>1112</v>
      </c>
      <c r="AH11" s="32">
        <f t="shared" si="18"/>
        <v>1520</v>
      </c>
      <c r="AI11" s="32">
        <f t="shared" si="18"/>
        <v>1928</v>
      </c>
      <c r="AJ11" s="32">
        <f t="shared" si="18"/>
        <v>2336</v>
      </c>
      <c r="AK11" s="32">
        <f t="shared" si="18"/>
        <v>2744</v>
      </c>
      <c r="AL11" s="32">
        <f t="shared" si="18"/>
        <v>2948</v>
      </c>
      <c r="AM11" s="32">
        <f t="shared" si="18"/>
        <v>3152</v>
      </c>
      <c r="AN11" s="32">
        <f t="shared" si="18"/>
        <v>3458</v>
      </c>
      <c r="AO11" s="33"/>
    </row>
    <row r="12" spans="1:41" x14ac:dyDescent="0.35">
      <c r="A12" s="163"/>
      <c r="B12" s="4" t="s">
        <v>54</v>
      </c>
      <c r="C12" s="71"/>
      <c r="D12" s="71"/>
      <c r="E12" s="71"/>
      <c r="F12" s="71"/>
      <c r="G12" s="71"/>
      <c r="H12" s="71"/>
      <c r="I12" s="75">
        <v>47</v>
      </c>
      <c r="J12" s="71"/>
      <c r="K12" s="27"/>
      <c r="L12" s="27"/>
      <c r="M12" s="27"/>
      <c r="N12" s="27"/>
      <c r="O12" s="26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6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6"/>
    </row>
    <row r="13" spans="1:41" s="6" customFormat="1" x14ac:dyDescent="0.35">
      <c r="A13" s="163"/>
      <c r="B13" s="42" t="s">
        <v>55</v>
      </c>
      <c r="C13" s="44">
        <f>'IMS vs FRCST'!C4</f>
        <v>685</v>
      </c>
      <c r="D13" s="44">
        <f>'IMS vs FRCST'!D4</f>
        <v>967</v>
      </c>
      <c r="E13" s="44">
        <f>'IMS vs FRCST'!E4</f>
        <v>1041</v>
      </c>
      <c r="F13" s="44">
        <f>'IMS vs FRCST'!F4</f>
        <v>6</v>
      </c>
      <c r="G13" s="44">
        <f>'IMS vs FRCST'!G4</f>
        <v>0</v>
      </c>
      <c r="H13" s="44">
        <f>'IMS vs FRCST'!H4</f>
        <v>185</v>
      </c>
      <c r="I13" s="44">
        <f>'IMS vs FRCST'!I4</f>
        <v>1226</v>
      </c>
      <c r="J13" s="44">
        <f>'IMS vs FRCST'!J4</f>
        <v>60</v>
      </c>
      <c r="K13" s="43">
        <f>'IMS vs FRCST'!K4</f>
        <v>656</v>
      </c>
      <c r="L13" s="43">
        <f>'IMS vs FRCST'!L4</f>
        <v>890</v>
      </c>
      <c r="M13" s="43">
        <f>'IMS vs FRCST'!M4</f>
        <v>716</v>
      </c>
      <c r="N13" s="43">
        <f>'IMS vs FRCST'!N4</f>
        <v>22</v>
      </c>
      <c r="O13" s="26">
        <f>SUM(C13:N13)</f>
        <v>6454</v>
      </c>
      <c r="P13" s="28">
        <f>'IMS vs FRCST'!P4</f>
        <v>505</v>
      </c>
      <c r="Q13" s="28">
        <f>'IMS vs FRCST'!Q4</f>
        <v>115</v>
      </c>
      <c r="R13" s="28">
        <f>'IMS vs FRCST'!R4</f>
        <v>128</v>
      </c>
      <c r="S13" s="28">
        <f>'IMS vs FRCST'!S4</f>
        <v>500</v>
      </c>
      <c r="T13" s="28">
        <f>'IMS vs FRCST'!T4</f>
        <v>500</v>
      </c>
      <c r="U13" s="28">
        <f>'IMS vs FRCST'!U4</f>
        <v>500</v>
      </c>
      <c r="V13" s="28">
        <f>'IMS vs FRCST'!V4</f>
        <v>500</v>
      </c>
      <c r="W13" s="28">
        <f>'IMS vs FRCST'!W4</f>
        <v>500</v>
      </c>
      <c r="X13" s="28">
        <f>'IMS vs FRCST'!X4</f>
        <v>500</v>
      </c>
      <c r="Y13" s="28">
        <f>'IMS vs FRCST'!Y4</f>
        <v>500</v>
      </c>
      <c r="Z13" s="28">
        <f>'IMS vs FRCST'!Z4</f>
        <v>400</v>
      </c>
      <c r="AA13" s="28">
        <f>'IMS vs FRCST'!AA4</f>
        <v>430</v>
      </c>
      <c r="AB13" s="26">
        <f>SUM(P13:AA13)</f>
        <v>5078</v>
      </c>
      <c r="AC13" s="28">
        <f>'IMS vs FRCST'!AC4</f>
        <v>800</v>
      </c>
      <c r="AD13" s="28">
        <f>'IMS vs FRCST'!AD4</f>
        <v>800</v>
      </c>
      <c r="AE13" s="28">
        <f>'IMS vs FRCST'!AE4</f>
        <v>612</v>
      </c>
      <c r="AF13" s="28">
        <f>'IMS vs FRCST'!AF4</f>
        <v>510</v>
      </c>
      <c r="AG13" s="28">
        <f>'IMS vs FRCST'!AG4</f>
        <v>510</v>
      </c>
      <c r="AH13" s="28">
        <f>'IMS vs FRCST'!AH4</f>
        <v>510</v>
      </c>
      <c r="AI13" s="28">
        <f>'IMS vs FRCST'!AI4</f>
        <v>510</v>
      </c>
      <c r="AJ13" s="28">
        <f>'IMS vs FRCST'!AJ4</f>
        <v>510</v>
      </c>
      <c r="AK13" s="28">
        <f>'IMS vs FRCST'!AK4</f>
        <v>510</v>
      </c>
      <c r="AL13" s="28">
        <f>'IMS vs FRCST'!AL4</f>
        <v>510</v>
      </c>
      <c r="AM13" s="28">
        <f>'IMS vs FRCST'!AM4</f>
        <v>408</v>
      </c>
      <c r="AN13" s="28">
        <f>'IMS vs FRCST'!AN4</f>
        <v>438.6</v>
      </c>
      <c r="AO13" s="26">
        <f>SUM(AC13:AN13)</f>
        <v>6628.6</v>
      </c>
    </row>
    <row r="14" spans="1:41" x14ac:dyDescent="0.35">
      <c r="A14" s="163"/>
      <c r="B14" s="4" t="s">
        <v>56</v>
      </c>
      <c r="C14" s="71">
        <f>'Shipment (Production)'!G5</f>
        <v>699</v>
      </c>
      <c r="D14" s="71">
        <f>'Shipment (Production)'!L5</f>
        <v>1000</v>
      </c>
      <c r="E14" s="71">
        <f>'Shipment (Production)'!Q5</f>
        <v>1000</v>
      </c>
      <c r="F14" s="71">
        <f>'Shipment (Production)'!V5</f>
        <v>0</v>
      </c>
      <c r="G14" s="71">
        <f>'Shipment (Production)'!AA5</f>
        <v>0</v>
      </c>
      <c r="H14" s="71">
        <f>'Shipment (Production)'!AF5</f>
        <v>518</v>
      </c>
      <c r="I14" s="71">
        <f>'Shipment (Production)'!AK5</f>
        <v>953</v>
      </c>
      <c r="J14" s="71">
        <f>'Shipment (Production)'!AP5</f>
        <v>600</v>
      </c>
      <c r="K14" s="27">
        <f>'Shipment (Production)'!AU5</f>
        <v>1680</v>
      </c>
      <c r="L14" s="27">
        <f>'Shipment (Production)'!AZ5</f>
        <v>0</v>
      </c>
      <c r="M14" s="27">
        <f>'Shipment (Production)'!BE5</f>
        <v>680</v>
      </c>
      <c r="N14" s="27">
        <f>'Shipment (Production)'!BJ5</f>
        <v>2102</v>
      </c>
      <c r="O14" s="26">
        <f>SUM(C14:N14)</f>
        <v>9232</v>
      </c>
      <c r="P14" s="27">
        <f>'Shipment (Production)'!BP5</f>
        <v>0</v>
      </c>
      <c r="Q14" s="27">
        <f>'Shipment (Production)'!BU5</f>
        <v>0</v>
      </c>
      <c r="R14" s="27">
        <f>'Shipment (Production)'!BZ5</f>
        <v>800</v>
      </c>
      <c r="S14" s="27">
        <f>'Shipment (Production)'!CE5</f>
        <v>1000</v>
      </c>
      <c r="T14" s="27">
        <f>'Shipment (Production)'!CJ5</f>
        <v>600</v>
      </c>
      <c r="U14" s="27">
        <f>'Shipment (Production)'!CO5</f>
        <v>400</v>
      </c>
      <c r="V14" s="27">
        <f>'Shipment (Production)'!CT5</f>
        <v>0</v>
      </c>
      <c r="W14" s="27">
        <f>'Shipment (Production)'!CY5</f>
        <v>0</v>
      </c>
      <c r="X14" s="27">
        <f>'Shipment (Production)'!DD5</f>
        <v>0</v>
      </c>
      <c r="Y14" s="27">
        <f>'Shipment (Production)'!DI5</f>
        <v>0</v>
      </c>
      <c r="Z14" s="27">
        <f>'Shipment (Production)'!DN5</f>
        <v>0</v>
      </c>
      <c r="AA14" s="27">
        <f>'Shipment (Production)'!DS5</f>
        <v>0</v>
      </c>
      <c r="AB14" s="26">
        <f>SUM(P14:AA14)</f>
        <v>2800</v>
      </c>
      <c r="AC14" s="27">
        <f>'Shipment (Production)'!DY5</f>
        <v>800</v>
      </c>
      <c r="AD14" s="27">
        <f>'Shipment (Production)'!DZ5</f>
        <v>800</v>
      </c>
      <c r="AE14" s="27">
        <f>'Shipment (Production)'!EI5</f>
        <v>816</v>
      </c>
      <c r="AF14" s="27">
        <f>'Shipment (Production)'!EN5</f>
        <v>918</v>
      </c>
      <c r="AG14" s="27">
        <f>'Shipment (Production)'!ES5</f>
        <v>918</v>
      </c>
      <c r="AH14" s="27">
        <f>'Shipment (Production)'!EX5</f>
        <v>918</v>
      </c>
      <c r="AI14" s="27">
        <f>'Shipment (Production)'!FC5</f>
        <v>918</v>
      </c>
      <c r="AJ14" s="27">
        <f>'Shipment (Production)'!FH5</f>
        <v>918</v>
      </c>
      <c r="AK14" s="27">
        <f>'Shipment (Production)'!FM5</f>
        <v>714</v>
      </c>
      <c r="AL14" s="27">
        <f>'Shipment (Production)'!FR5</f>
        <v>714</v>
      </c>
      <c r="AM14" s="27">
        <f>'Shipment (Production)'!FW5</f>
        <v>714</v>
      </c>
      <c r="AN14" s="27">
        <f>'Shipment (Production)'!GB5</f>
        <v>714</v>
      </c>
      <c r="AO14" s="26">
        <f>SUM(AC14:AN14)</f>
        <v>9862</v>
      </c>
    </row>
    <row r="15" spans="1:41" x14ac:dyDescent="0.35">
      <c r="A15" s="163"/>
      <c r="B15" s="4" t="s">
        <v>57</v>
      </c>
      <c r="C15" s="71">
        <f>'Arrival to Regie'!G5</f>
        <v>699</v>
      </c>
      <c r="D15" s="71">
        <f>'Arrival to Regie'!L5</f>
        <v>1000</v>
      </c>
      <c r="E15" s="71">
        <f>'Arrival to Regie'!Q5</f>
        <v>1000</v>
      </c>
      <c r="F15" s="71">
        <f>'Arrival to Regie'!V5</f>
        <v>0</v>
      </c>
      <c r="G15" s="71">
        <f>'Arrival to Regie'!AA5</f>
        <v>0</v>
      </c>
      <c r="H15" s="71">
        <f>'Arrival to Regie'!AF5</f>
        <v>518</v>
      </c>
      <c r="I15" s="71">
        <f>'Arrival to Regie'!AK5</f>
        <v>953</v>
      </c>
      <c r="J15" s="71">
        <f>'Arrival to Regie'!AP5</f>
        <v>0</v>
      </c>
      <c r="K15" s="27">
        <f>'Arrival to Regie'!AU5</f>
        <v>1600</v>
      </c>
      <c r="L15" s="27">
        <f>'Arrival to Regie'!AZ5</f>
        <v>680</v>
      </c>
      <c r="M15" s="27">
        <f>'Arrival to Regie'!BE5</f>
        <v>0</v>
      </c>
      <c r="N15" s="27">
        <f>'Arrival to Regie'!BJ5</f>
        <v>2782</v>
      </c>
      <c r="O15" s="26">
        <f>SUM(C15:N15)</f>
        <v>9232</v>
      </c>
      <c r="P15" s="27">
        <f>'Arrival to Regie'!BP5</f>
        <v>0</v>
      </c>
      <c r="Q15" s="27">
        <f>'Arrival to Regie'!BU5</f>
        <v>0</v>
      </c>
      <c r="R15" s="27">
        <f>'Arrival to Regie'!BZ5</f>
        <v>0</v>
      </c>
      <c r="S15" s="27">
        <f>'Arrival to Regie'!CE5</f>
        <v>800</v>
      </c>
      <c r="T15" s="27">
        <f>'Arrival to Regie'!CJ5</f>
        <v>1000</v>
      </c>
      <c r="U15" s="27">
        <f>'Arrival to Regie'!CO5</f>
        <v>600</v>
      </c>
      <c r="V15" s="27">
        <f>'Arrival to Regie'!CT5</f>
        <v>400</v>
      </c>
      <c r="W15" s="27">
        <f>'Arrival to Regie'!CY5</f>
        <v>0</v>
      </c>
      <c r="X15" s="27">
        <f>'Arrival to Regie'!DD5</f>
        <v>0</v>
      </c>
      <c r="Y15" s="27">
        <f>'Arrival to Regie'!DI5</f>
        <v>0</v>
      </c>
      <c r="Z15" s="27">
        <f>'Arrival to Regie'!DN5</f>
        <v>0</v>
      </c>
      <c r="AA15" s="27">
        <f>'Arrival to Regie'!DS5</f>
        <v>0</v>
      </c>
      <c r="AB15" s="26">
        <f>SUM(P15:AA15)</f>
        <v>2800</v>
      </c>
      <c r="AC15" s="27">
        <f>'Arrival to Regie'!DY5</f>
        <v>800</v>
      </c>
      <c r="AD15" s="27">
        <f>'Arrival to Regie'!ED5</f>
        <v>800</v>
      </c>
      <c r="AE15" s="27">
        <f>'Arrival to Regie'!EI5</f>
        <v>816</v>
      </c>
      <c r="AF15" s="27">
        <f>'Arrival to Regie'!EN5</f>
        <v>918</v>
      </c>
      <c r="AG15" s="27">
        <f>'Arrival to Regie'!ES5</f>
        <v>918</v>
      </c>
      <c r="AH15" s="27">
        <f>'Arrival to Regie'!EX5</f>
        <v>918</v>
      </c>
      <c r="AI15" s="27">
        <f>'Arrival to Regie'!FC5</f>
        <v>918</v>
      </c>
      <c r="AJ15" s="27">
        <f>'Arrival to Regie'!FH5</f>
        <v>918</v>
      </c>
      <c r="AK15" s="27">
        <f>'Arrival to Regie'!FM5</f>
        <v>714</v>
      </c>
      <c r="AL15" s="27">
        <f>'Arrival to Regie'!FR5</f>
        <v>714</v>
      </c>
      <c r="AM15" s="27">
        <f>'Arrival to Regie'!FW5</f>
        <v>714</v>
      </c>
      <c r="AN15" s="27">
        <f>'Arrival to Regie'!GB5</f>
        <v>714</v>
      </c>
      <c r="AO15" s="26">
        <f>SUM(AC15:AN15)</f>
        <v>9862</v>
      </c>
    </row>
    <row r="16" spans="1:41" x14ac:dyDescent="0.35">
      <c r="A16" s="163"/>
      <c r="B16" s="47" t="s">
        <v>58</v>
      </c>
      <c r="C16" s="72">
        <f t="shared" ref="C16:AA16" si="19">C11+C12+C15-C13</f>
        <v>14</v>
      </c>
      <c r="D16" s="72">
        <f t="shared" si="19"/>
        <v>47</v>
      </c>
      <c r="E16" s="72">
        <f t="shared" si="19"/>
        <v>-41</v>
      </c>
      <c r="F16" s="72">
        <f t="shared" si="19"/>
        <v>-47</v>
      </c>
      <c r="G16" s="72">
        <f t="shared" si="19"/>
        <v>-47</v>
      </c>
      <c r="H16" s="72">
        <f t="shared" si="19"/>
        <v>286</v>
      </c>
      <c r="I16" s="72">
        <f t="shared" si="19"/>
        <v>60</v>
      </c>
      <c r="J16" s="72">
        <f t="shared" si="19"/>
        <v>0</v>
      </c>
      <c r="K16" s="48">
        <f t="shared" si="19"/>
        <v>944</v>
      </c>
      <c r="L16" s="48">
        <f t="shared" si="19"/>
        <v>734</v>
      </c>
      <c r="M16" s="48">
        <f t="shared" si="19"/>
        <v>18</v>
      </c>
      <c r="N16" s="48">
        <f t="shared" si="19"/>
        <v>2778</v>
      </c>
      <c r="O16" s="26"/>
      <c r="P16" s="48">
        <f t="shared" si="19"/>
        <v>2273</v>
      </c>
      <c r="Q16" s="48">
        <f t="shared" si="19"/>
        <v>2158</v>
      </c>
      <c r="R16" s="48">
        <f t="shared" si="19"/>
        <v>2030</v>
      </c>
      <c r="S16" s="48">
        <f t="shared" si="19"/>
        <v>2330</v>
      </c>
      <c r="T16" s="48">
        <f t="shared" si="19"/>
        <v>2830</v>
      </c>
      <c r="U16" s="48">
        <f t="shared" si="19"/>
        <v>2930</v>
      </c>
      <c r="V16" s="48">
        <f t="shared" si="19"/>
        <v>2830</v>
      </c>
      <c r="W16" s="48">
        <f t="shared" si="19"/>
        <v>2330</v>
      </c>
      <c r="X16" s="48">
        <f t="shared" si="19"/>
        <v>1830</v>
      </c>
      <c r="Y16" s="48">
        <f t="shared" si="19"/>
        <v>1330</v>
      </c>
      <c r="Z16" s="48">
        <f t="shared" si="19"/>
        <v>930</v>
      </c>
      <c r="AA16" s="48">
        <f t="shared" si="19"/>
        <v>500</v>
      </c>
      <c r="AB16" s="26"/>
      <c r="AC16" s="48">
        <f t="shared" ref="AC16:AN16" si="20">AC11+AC12+AC15-AC13</f>
        <v>500</v>
      </c>
      <c r="AD16" s="48">
        <f t="shared" si="20"/>
        <v>500</v>
      </c>
      <c r="AE16" s="48">
        <f t="shared" si="20"/>
        <v>704</v>
      </c>
      <c r="AF16" s="48">
        <f t="shared" si="20"/>
        <v>1112</v>
      </c>
      <c r="AG16" s="48">
        <f t="shared" si="20"/>
        <v>1520</v>
      </c>
      <c r="AH16" s="48">
        <f t="shared" si="20"/>
        <v>1928</v>
      </c>
      <c r="AI16" s="48">
        <f t="shared" si="20"/>
        <v>2336</v>
      </c>
      <c r="AJ16" s="48">
        <f t="shared" si="20"/>
        <v>2744</v>
      </c>
      <c r="AK16" s="48">
        <f t="shared" si="20"/>
        <v>2948</v>
      </c>
      <c r="AL16" s="48">
        <f t="shared" si="20"/>
        <v>3152</v>
      </c>
      <c r="AM16" s="48">
        <f t="shared" si="20"/>
        <v>3458</v>
      </c>
      <c r="AN16" s="48">
        <f t="shared" si="20"/>
        <v>3733.4</v>
      </c>
      <c r="AO16" s="26"/>
    </row>
    <row r="17" spans="1:41" ht="15" thickBot="1" x14ac:dyDescent="0.4">
      <c r="A17" s="164"/>
      <c r="B17" s="34" t="s">
        <v>59</v>
      </c>
      <c r="C17" s="35">
        <f>IF(C16=0,0,IFERROR((((C16)/(AVERAGE(D13:E13)))*4.3),"∞"))</f>
        <v>5.9960159362549795E-2</v>
      </c>
      <c r="D17" s="35">
        <f t="shared" ref="D17:L17" si="21">IF(D16=0,0,IFERROR((((D16)/(AVERAGE(E13:F13)))*4.3),"∞"))</f>
        <v>0.38605539637058256</v>
      </c>
      <c r="E17" s="35">
        <f t="shared" si="21"/>
        <v>-58.766666666666659</v>
      </c>
      <c r="F17" s="35">
        <f t="shared" si="21"/>
        <v>-2.1848648648648648</v>
      </c>
      <c r="G17" s="35">
        <f t="shared" si="21"/>
        <v>-0.28646350106307578</v>
      </c>
      <c r="H17" s="35">
        <f t="shared" si="21"/>
        <v>1.9125972006220839</v>
      </c>
      <c r="I17" s="35">
        <f t="shared" si="21"/>
        <v>0.72067039106145248</v>
      </c>
      <c r="J17" s="35">
        <f t="shared" si="21"/>
        <v>0</v>
      </c>
      <c r="K17" s="35">
        <f t="shared" si="21"/>
        <v>5.0550435865504362</v>
      </c>
      <c r="L17" s="35">
        <f t="shared" si="21"/>
        <v>8.5533875338753376</v>
      </c>
      <c r="M17" s="35">
        <f>IF(M16=0,0,IFERROR((((M16)/(AVERAGE(N13,P13)))*4.3),"∞"))</f>
        <v>0.29373814041745733</v>
      </c>
      <c r="N17" s="35">
        <f>IF(N16=0,0,IFERROR((((N16)/(AVERAGE(P13:Q13)))*4.3),"∞"))</f>
        <v>38.533548387096772</v>
      </c>
      <c r="O17" s="36"/>
      <c r="P17" s="35">
        <f>IF(P16=0,0,IFERROR((((P16)/(AVERAGE(Q13:R13)))*4.3),"∞"))</f>
        <v>80.443621399176948</v>
      </c>
      <c r="Q17" s="35">
        <f t="shared" ref="Q17:Y17" si="22">IF(Q16=0,0,IFERROR((((Q16)/(AVERAGE(R13:S13)))*4.3),"∞"))</f>
        <v>29.552229299363056</v>
      </c>
      <c r="R17" s="35">
        <f t="shared" si="22"/>
        <v>17.457999999999998</v>
      </c>
      <c r="S17" s="35">
        <f t="shared" si="22"/>
        <v>20.038</v>
      </c>
      <c r="T17" s="35">
        <f t="shared" si="22"/>
        <v>24.338000000000001</v>
      </c>
      <c r="U17" s="35">
        <f t="shared" si="22"/>
        <v>25.198</v>
      </c>
      <c r="V17" s="35">
        <f t="shared" si="22"/>
        <v>24.338000000000001</v>
      </c>
      <c r="W17" s="35">
        <f t="shared" si="22"/>
        <v>20.038</v>
      </c>
      <c r="X17" s="35">
        <f t="shared" si="22"/>
        <v>17.486666666666665</v>
      </c>
      <c r="Y17" s="35">
        <f t="shared" si="22"/>
        <v>13.780722891566263</v>
      </c>
      <c r="Z17" s="35">
        <f>IF(Z16=0,0,IFERROR((((Z16)/(AVERAGE(AA13,AC13)))*4.3),"∞"))</f>
        <v>6.5024390243902435</v>
      </c>
      <c r="AA17" s="35">
        <f>IF(AA16=0,0,IFERROR((((AA16)/(AVERAGE(AC13:AD13)))*4.3),"∞"))</f>
        <v>2.6875</v>
      </c>
      <c r="AB17" s="36"/>
      <c r="AC17" s="35">
        <f>IF(AC16=0,0,IFERROR((((AC16)/(AVERAGE(AD13:AE13)))*4.3),"∞"))</f>
        <v>3.0453257790368267</v>
      </c>
      <c r="AD17" s="35">
        <f t="shared" ref="AD17" si="23">IF(AD16=0,0,IFERROR((((AD16)/(AVERAGE(AE13:AF13)))*4.3),"∞"))</f>
        <v>3.832442067736185</v>
      </c>
      <c r="AE17" s="35">
        <f t="shared" ref="AE17" si="24">IF(AE16=0,0,IFERROR((((AE16)/(AVERAGE(AF13:AG13)))*4.3),"∞"))</f>
        <v>5.9356862745098038</v>
      </c>
      <c r="AF17" s="35">
        <f t="shared" ref="AF17" si="25">IF(AF16=0,0,IFERROR((((AF16)/(AVERAGE(AG13:AH13)))*4.3),"∞"))</f>
        <v>9.3756862745098033</v>
      </c>
      <c r="AG17" s="35">
        <f t="shared" ref="AG17" si="26">IF(AG16=0,0,IFERROR((((AG16)/(AVERAGE(AH13:AI13)))*4.3),"∞"))</f>
        <v>12.815686274509805</v>
      </c>
      <c r="AH17" s="35">
        <f t="shared" ref="AH17" si="27">IF(AH16=0,0,IFERROR((((AH16)/(AVERAGE(AI13:AJ13)))*4.3),"∞"))</f>
        <v>16.255686274509802</v>
      </c>
      <c r="AI17" s="35">
        <f t="shared" ref="AI17" si="28">IF(AI16=0,0,IFERROR((((AI16)/(AVERAGE(AJ13:AK13)))*4.3),"∞"))</f>
        <v>19.695686274509804</v>
      </c>
      <c r="AJ17" s="35">
        <f t="shared" ref="AJ17" si="29">IF(AJ16=0,0,IFERROR((((AJ16)/(AVERAGE(AK13:AL13)))*4.3),"∞"))</f>
        <v>23.135686274509805</v>
      </c>
      <c r="AK17" s="35">
        <f t="shared" ref="AK17" si="30">IF(AK16=0,0,IFERROR((((AK16)/(AVERAGE(AL13:AM13)))*4.3),"∞"))</f>
        <v>27.617429193899781</v>
      </c>
      <c r="AL17" s="35">
        <f t="shared" ref="AL17" si="31">IF(AL16=0,0,IFERROR((((AL16)/(AVERAGE(AM13:AN13)))*4.3),"∞"))</f>
        <v>32.018899125915425</v>
      </c>
      <c r="AM17" s="35">
        <f>IF(AM16=0,0,IFERROR((((AM16)/(AVERAGE(AN13,AP13)))*4.3),"∞"))</f>
        <v>33.901960784313722</v>
      </c>
      <c r="AN17" s="35" t="str">
        <f>IF(AN16=0,0,IFERROR((((AN16)/(AVERAGE(AP13:AQ13)))*4.3),"∞"))</f>
        <v>∞</v>
      </c>
      <c r="AO17" s="36"/>
    </row>
    <row r="18" spans="1:41" s="23" customFormat="1" ht="15" thickBot="1" x14ac:dyDescent="0.4">
      <c r="A18" s="22"/>
      <c r="C18" s="74"/>
      <c r="D18" s="74"/>
      <c r="E18" s="74"/>
      <c r="F18" s="74"/>
      <c r="G18" s="74"/>
      <c r="H18" s="74"/>
      <c r="I18" s="74"/>
      <c r="J18" s="74"/>
      <c r="K18" s="24"/>
      <c r="L18" s="24"/>
      <c r="M18" s="24"/>
      <c r="N18" s="24"/>
      <c r="O18" s="25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7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74"/>
    </row>
    <row r="19" spans="1:41" ht="14.5" customHeight="1" x14ac:dyDescent="0.35">
      <c r="A19" s="162" t="str">
        <f>'IMS vs FRCST'!B5</f>
        <v>Al Fakher Lemon Mint 1kg</v>
      </c>
      <c r="B19" s="21" t="s">
        <v>53</v>
      </c>
      <c r="C19" s="70">
        <v>98</v>
      </c>
      <c r="D19" s="70">
        <f>C24</f>
        <v>7</v>
      </c>
      <c r="E19" s="70">
        <f>D24</f>
        <v>898</v>
      </c>
      <c r="F19" s="70">
        <f t="shared" ref="F19:N19" si="32">E24</f>
        <v>981</v>
      </c>
      <c r="G19" s="70">
        <f t="shared" si="32"/>
        <v>668</v>
      </c>
      <c r="H19" s="70">
        <f t="shared" si="32"/>
        <v>473</v>
      </c>
      <c r="I19" s="70">
        <f t="shared" si="32"/>
        <v>231</v>
      </c>
      <c r="J19" s="70">
        <f t="shared" si="32"/>
        <v>343</v>
      </c>
      <c r="K19" s="32">
        <f t="shared" si="32"/>
        <v>0</v>
      </c>
      <c r="L19" s="32">
        <f t="shared" si="32"/>
        <v>0</v>
      </c>
      <c r="M19" s="32">
        <f t="shared" si="32"/>
        <v>457</v>
      </c>
      <c r="N19" s="32">
        <f t="shared" si="32"/>
        <v>0</v>
      </c>
      <c r="O19" s="33"/>
      <c r="P19" s="32">
        <f>N24</f>
        <v>710</v>
      </c>
      <c r="Q19" s="32">
        <f>P24</f>
        <v>333</v>
      </c>
      <c r="R19" s="32">
        <f t="shared" ref="R19:AA19" si="33">Q24</f>
        <v>395</v>
      </c>
      <c r="S19" s="32">
        <f t="shared" si="33"/>
        <v>701</v>
      </c>
      <c r="T19" s="32">
        <f t="shared" si="33"/>
        <v>651</v>
      </c>
      <c r="U19" s="32">
        <f t="shared" si="33"/>
        <v>801</v>
      </c>
      <c r="V19" s="32">
        <f t="shared" si="33"/>
        <v>951</v>
      </c>
      <c r="W19" s="32">
        <f t="shared" si="33"/>
        <v>1217</v>
      </c>
      <c r="X19" s="32">
        <f t="shared" si="33"/>
        <v>717</v>
      </c>
      <c r="Y19" s="32">
        <f t="shared" si="33"/>
        <v>617</v>
      </c>
      <c r="Z19" s="32">
        <f t="shared" si="33"/>
        <v>467</v>
      </c>
      <c r="AA19" s="32">
        <f t="shared" si="33"/>
        <v>317</v>
      </c>
      <c r="AB19" s="33"/>
      <c r="AC19" s="32">
        <f>AA24</f>
        <v>467</v>
      </c>
      <c r="AD19" s="32">
        <f>AC24</f>
        <v>467</v>
      </c>
      <c r="AE19" s="32">
        <f t="shared" ref="AE19:AN19" si="34">AD24</f>
        <v>467</v>
      </c>
      <c r="AF19" s="32">
        <f t="shared" si="34"/>
        <v>467</v>
      </c>
      <c r="AG19" s="32">
        <f t="shared" si="34"/>
        <v>518</v>
      </c>
      <c r="AH19" s="32">
        <f t="shared" si="34"/>
        <v>671</v>
      </c>
      <c r="AI19" s="32">
        <f t="shared" si="34"/>
        <v>824</v>
      </c>
      <c r="AJ19" s="32">
        <f t="shared" si="34"/>
        <v>926</v>
      </c>
      <c r="AK19" s="32">
        <f t="shared" si="34"/>
        <v>926</v>
      </c>
      <c r="AL19" s="32">
        <f t="shared" si="34"/>
        <v>722</v>
      </c>
      <c r="AM19" s="32">
        <f t="shared" si="34"/>
        <v>569</v>
      </c>
      <c r="AN19" s="32">
        <f t="shared" si="34"/>
        <v>416</v>
      </c>
      <c r="AO19" s="33"/>
    </row>
    <row r="20" spans="1:41" x14ac:dyDescent="0.35">
      <c r="A20" s="163"/>
      <c r="B20" s="4" t="s">
        <v>54</v>
      </c>
      <c r="C20" s="71"/>
      <c r="D20" s="71"/>
      <c r="E20" s="71"/>
      <c r="F20" s="71"/>
      <c r="G20" s="71"/>
      <c r="H20" s="71"/>
      <c r="I20" s="71"/>
      <c r="J20" s="71"/>
      <c r="K20" s="27"/>
      <c r="L20" s="27"/>
      <c r="M20" s="27"/>
      <c r="N20" s="27"/>
      <c r="O20" s="26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6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6"/>
    </row>
    <row r="21" spans="1:41" s="6" customFormat="1" x14ac:dyDescent="0.35">
      <c r="A21" s="163"/>
      <c r="B21" s="42" t="s">
        <v>55</v>
      </c>
      <c r="C21" s="44">
        <f>'IMS vs FRCST'!C5</f>
        <v>165</v>
      </c>
      <c r="D21" s="44">
        <f>'IMS vs FRCST'!D5</f>
        <v>9</v>
      </c>
      <c r="E21" s="44">
        <f>'IMS vs FRCST'!E5</f>
        <v>587</v>
      </c>
      <c r="F21" s="44">
        <f>'IMS vs FRCST'!F5</f>
        <v>313</v>
      </c>
      <c r="G21" s="44">
        <f>'IMS vs FRCST'!G5</f>
        <v>195</v>
      </c>
      <c r="H21" s="44">
        <f>'IMS vs FRCST'!H5</f>
        <v>242</v>
      </c>
      <c r="I21" s="44">
        <f>'IMS vs FRCST'!I5</f>
        <v>489</v>
      </c>
      <c r="J21" s="44">
        <f>'IMS vs FRCST'!J5</f>
        <v>343</v>
      </c>
      <c r="K21" s="43">
        <f>'IMS vs FRCST'!K5</f>
        <v>348</v>
      </c>
      <c r="L21" s="43">
        <f>'IMS vs FRCST'!L5</f>
        <v>553</v>
      </c>
      <c r="M21" s="43">
        <f>'IMS vs FRCST'!M5</f>
        <v>457</v>
      </c>
      <c r="N21" s="43">
        <f>'IMS vs FRCST'!N5</f>
        <v>85</v>
      </c>
      <c r="O21" s="26">
        <f>SUM(C21:N21)</f>
        <v>3786</v>
      </c>
      <c r="P21" s="28">
        <f>'IMS vs FRCST'!P5</f>
        <v>377</v>
      </c>
      <c r="Q21" s="28">
        <f>'IMS vs FRCST'!Q5</f>
        <v>138</v>
      </c>
      <c r="R21" s="28">
        <f>'IMS vs FRCST'!R5</f>
        <v>94</v>
      </c>
      <c r="S21" s="28">
        <f>'IMS vs FRCST'!S5</f>
        <v>450</v>
      </c>
      <c r="T21" s="28">
        <f>'IMS vs FRCST'!T5</f>
        <v>450</v>
      </c>
      <c r="U21" s="28">
        <f>'IMS vs FRCST'!U5</f>
        <v>450</v>
      </c>
      <c r="V21" s="28">
        <f>'IMS vs FRCST'!V5</f>
        <v>500</v>
      </c>
      <c r="W21" s="28">
        <f>'IMS vs FRCST'!W5</f>
        <v>500</v>
      </c>
      <c r="X21" s="28">
        <f>'IMS vs FRCST'!X5</f>
        <v>500</v>
      </c>
      <c r="Y21" s="28">
        <f>'IMS vs FRCST'!Y5</f>
        <v>450</v>
      </c>
      <c r="Z21" s="28">
        <f>'IMS vs FRCST'!Z5</f>
        <v>450</v>
      </c>
      <c r="AA21" s="28">
        <f>'IMS vs FRCST'!AA5</f>
        <v>350</v>
      </c>
      <c r="AB21" s="26">
        <f>SUM(P21:AA21)</f>
        <v>4709</v>
      </c>
      <c r="AC21" s="28">
        <f>'IMS vs FRCST'!AC5</f>
        <v>400</v>
      </c>
      <c r="AD21" s="28">
        <f>'IMS vs FRCST'!AD5</f>
        <v>400</v>
      </c>
      <c r="AE21" s="28">
        <f>'IMS vs FRCST'!AE5</f>
        <v>408</v>
      </c>
      <c r="AF21" s="28">
        <f>'IMS vs FRCST'!AF5</f>
        <v>459</v>
      </c>
      <c r="AG21" s="28">
        <f>'IMS vs FRCST'!AG5</f>
        <v>459</v>
      </c>
      <c r="AH21" s="28">
        <f>'IMS vs FRCST'!AH5</f>
        <v>459</v>
      </c>
      <c r="AI21" s="28">
        <f>'IMS vs FRCST'!AI5</f>
        <v>510</v>
      </c>
      <c r="AJ21" s="28">
        <f>'IMS vs FRCST'!AJ5</f>
        <v>510</v>
      </c>
      <c r="AK21" s="28">
        <f>'IMS vs FRCST'!AK5</f>
        <v>510</v>
      </c>
      <c r="AL21" s="28">
        <f>'IMS vs FRCST'!AL5</f>
        <v>459</v>
      </c>
      <c r="AM21" s="28">
        <f>'IMS vs FRCST'!AM5</f>
        <v>459</v>
      </c>
      <c r="AN21" s="28">
        <f>'IMS vs FRCST'!AN5</f>
        <v>357</v>
      </c>
      <c r="AO21" s="26">
        <f>SUM(AC21:AN21)</f>
        <v>5390</v>
      </c>
    </row>
    <row r="22" spans="1:41" x14ac:dyDescent="0.35">
      <c r="A22" s="163"/>
      <c r="B22" s="4" t="s">
        <v>56</v>
      </c>
      <c r="C22" s="71">
        <f>'Shipment (Production)'!G6</f>
        <v>74</v>
      </c>
      <c r="D22" s="71">
        <f>'Shipment (Production)'!L6</f>
        <v>900</v>
      </c>
      <c r="E22" s="71">
        <f>'Shipment (Production)'!Q6</f>
        <v>670</v>
      </c>
      <c r="F22" s="71">
        <f>'Shipment (Production)'!V6</f>
        <v>0</v>
      </c>
      <c r="G22" s="71">
        <f>'Shipment (Production)'!AA6</f>
        <v>0</v>
      </c>
      <c r="H22" s="71">
        <f>'Shipment (Production)'!AF6</f>
        <v>0</v>
      </c>
      <c r="I22" s="71">
        <f>'Shipment (Production)'!AK6</f>
        <v>601</v>
      </c>
      <c r="J22" s="71">
        <f>'Shipment (Production)'!AP6</f>
        <v>348</v>
      </c>
      <c r="K22" s="27">
        <f>'Shipment (Production)'!AU6</f>
        <v>600</v>
      </c>
      <c r="L22" s="27">
        <f>'Shipment (Production)'!AZ6</f>
        <v>410</v>
      </c>
      <c r="M22" s="27">
        <f>'Shipment (Production)'!BE6</f>
        <v>410</v>
      </c>
      <c r="N22" s="27">
        <f>'Shipment (Production)'!BJ6</f>
        <v>385</v>
      </c>
      <c r="O22" s="26">
        <f>SUM(C22:N22)</f>
        <v>4398</v>
      </c>
      <c r="P22" s="27">
        <f>'Shipment (Production)'!BP6</f>
        <v>200</v>
      </c>
      <c r="Q22" s="27">
        <f>'Shipment (Production)'!BU6</f>
        <v>400</v>
      </c>
      <c r="R22" s="27">
        <f>'Shipment (Production)'!BZ6</f>
        <v>400</v>
      </c>
      <c r="S22" s="27">
        <f>'Shipment (Production)'!CE6</f>
        <v>600</v>
      </c>
      <c r="T22" s="27">
        <f>'Shipment (Production)'!CJ6</f>
        <v>600</v>
      </c>
      <c r="U22" s="27">
        <f>'Shipment (Production)'!CO6</f>
        <v>766</v>
      </c>
      <c r="V22" s="27">
        <f>'Shipment (Production)'!CT6</f>
        <v>0</v>
      </c>
      <c r="W22" s="27">
        <f>'Shipment (Production)'!CY6</f>
        <v>400</v>
      </c>
      <c r="X22" s="27">
        <f>'Shipment (Production)'!DD6</f>
        <v>300</v>
      </c>
      <c r="Y22" s="27">
        <f>'Shipment (Production)'!DI6</f>
        <v>300</v>
      </c>
      <c r="Z22" s="27">
        <f>'Shipment (Production)'!DN6</f>
        <v>500</v>
      </c>
      <c r="AA22" s="27">
        <f>'Shipment (Production)'!DS6</f>
        <v>0</v>
      </c>
      <c r="AB22" s="26">
        <f>SUM(P22:AA22)</f>
        <v>4466</v>
      </c>
      <c r="AC22" s="27">
        <f>'Shipment (Production)'!DY6</f>
        <v>400</v>
      </c>
      <c r="AD22" s="27">
        <f>'Shipment (Production)'!DZ6</f>
        <v>400</v>
      </c>
      <c r="AE22" s="27">
        <f>'Shipment (Production)'!EI6</f>
        <v>408</v>
      </c>
      <c r="AF22" s="27">
        <f>'Shipment (Production)'!EN6</f>
        <v>510</v>
      </c>
      <c r="AG22" s="27">
        <f>'Shipment (Production)'!ES6</f>
        <v>612</v>
      </c>
      <c r="AH22" s="27">
        <f>'Shipment (Production)'!EX6</f>
        <v>612</v>
      </c>
      <c r="AI22" s="27">
        <f>'Shipment (Production)'!FC6</f>
        <v>612</v>
      </c>
      <c r="AJ22" s="27">
        <f>'Shipment (Production)'!FH6</f>
        <v>510</v>
      </c>
      <c r="AK22" s="27">
        <f>'Shipment (Production)'!FM6</f>
        <v>306</v>
      </c>
      <c r="AL22" s="27">
        <f>'Shipment (Production)'!FR6</f>
        <v>306</v>
      </c>
      <c r="AM22" s="27">
        <f>'Shipment (Production)'!FW6</f>
        <v>306</v>
      </c>
      <c r="AN22" s="27">
        <f>'Shipment (Production)'!GB6</f>
        <v>306</v>
      </c>
      <c r="AO22" s="26">
        <f>SUM(AC22:AN22)</f>
        <v>5288</v>
      </c>
    </row>
    <row r="23" spans="1:41" x14ac:dyDescent="0.35">
      <c r="A23" s="163"/>
      <c r="B23" s="4" t="s">
        <v>57</v>
      </c>
      <c r="C23" s="71">
        <f>'Arrival to Regie'!G6</f>
        <v>74</v>
      </c>
      <c r="D23" s="71">
        <f>'Arrival to Regie'!L6</f>
        <v>900</v>
      </c>
      <c r="E23" s="71">
        <f>'Arrival to Regie'!Q6</f>
        <v>670</v>
      </c>
      <c r="F23" s="71">
        <f>'Arrival to Regie'!V6</f>
        <v>0</v>
      </c>
      <c r="G23" s="71">
        <f>'Arrival to Regie'!AA6</f>
        <v>0</v>
      </c>
      <c r="H23" s="71">
        <f>'Arrival to Regie'!AF6</f>
        <v>0</v>
      </c>
      <c r="I23" s="71">
        <f>'Arrival to Regie'!AK6</f>
        <v>601</v>
      </c>
      <c r="J23" s="71">
        <f>'Arrival to Regie'!AP6</f>
        <v>0</v>
      </c>
      <c r="K23" s="27">
        <f>'Arrival to Regie'!AU6</f>
        <v>348</v>
      </c>
      <c r="L23" s="27">
        <f>'Arrival to Regie'!AZ6</f>
        <v>1010</v>
      </c>
      <c r="M23" s="27">
        <f>'Arrival to Regie'!BE6</f>
        <v>0</v>
      </c>
      <c r="N23" s="27">
        <f>'Arrival to Regie'!BJ6</f>
        <v>795</v>
      </c>
      <c r="O23" s="26">
        <f>SUM(C23:N23)</f>
        <v>4398</v>
      </c>
      <c r="P23" s="27">
        <f>'Arrival to Regie'!BP6</f>
        <v>0</v>
      </c>
      <c r="Q23" s="27">
        <f>'Arrival to Regie'!BU6</f>
        <v>200</v>
      </c>
      <c r="R23" s="27">
        <f>'Arrival to Regie'!BZ6</f>
        <v>400</v>
      </c>
      <c r="S23" s="27">
        <f>'Arrival to Regie'!CE6</f>
        <v>400</v>
      </c>
      <c r="T23" s="27">
        <f>'Arrival to Regie'!CJ6</f>
        <v>600</v>
      </c>
      <c r="U23" s="27">
        <f>'Arrival to Regie'!CO6</f>
        <v>600</v>
      </c>
      <c r="V23" s="27">
        <f>'Arrival to Regie'!CT6</f>
        <v>766</v>
      </c>
      <c r="W23" s="27">
        <f>'Arrival to Regie'!CY6</f>
        <v>0</v>
      </c>
      <c r="X23" s="27">
        <f>'Arrival to Regie'!DD6</f>
        <v>400</v>
      </c>
      <c r="Y23" s="27">
        <f>'Arrival to Regie'!DI6</f>
        <v>300</v>
      </c>
      <c r="Z23" s="27">
        <f>'Arrival to Regie'!DN6</f>
        <v>300</v>
      </c>
      <c r="AA23" s="27">
        <f>'Arrival to Regie'!DS6</f>
        <v>500</v>
      </c>
      <c r="AB23" s="26">
        <f>SUM(P23:AA23)</f>
        <v>4466</v>
      </c>
      <c r="AC23" s="27">
        <f>'Arrival to Regie'!DY6</f>
        <v>400</v>
      </c>
      <c r="AD23" s="27">
        <f>'Arrival to Regie'!ED6</f>
        <v>400</v>
      </c>
      <c r="AE23" s="27">
        <f>'Arrival to Regie'!EI6</f>
        <v>408</v>
      </c>
      <c r="AF23" s="27">
        <f>'Arrival to Regie'!EN6</f>
        <v>510</v>
      </c>
      <c r="AG23" s="27">
        <f>'Arrival to Regie'!ES6</f>
        <v>612</v>
      </c>
      <c r="AH23" s="27">
        <f>'Arrival to Regie'!EX6</f>
        <v>612</v>
      </c>
      <c r="AI23" s="27">
        <f>'Arrival to Regie'!FC6</f>
        <v>612</v>
      </c>
      <c r="AJ23" s="27">
        <f>'Arrival to Regie'!FH6</f>
        <v>510</v>
      </c>
      <c r="AK23" s="27">
        <f>'Arrival to Regie'!FM6</f>
        <v>306</v>
      </c>
      <c r="AL23" s="27">
        <f>'Arrival to Regie'!FR6</f>
        <v>306</v>
      </c>
      <c r="AM23" s="27">
        <f>'Arrival to Regie'!FW6</f>
        <v>306</v>
      </c>
      <c r="AN23" s="27">
        <f>'Arrival to Regie'!GB6</f>
        <v>306</v>
      </c>
      <c r="AO23" s="26">
        <f>SUM(AC23:AN23)</f>
        <v>5288</v>
      </c>
    </row>
    <row r="24" spans="1:41" x14ac:dyDescent="0.35">
      <c r="A24" s="163"/>
      <c r="B24" s="47" t="s">
        <v>58</v>
      </c>
      <c r="C24" s="72">
        <f t="shared" ref="C24:AA24" si="35">C19+C20+C23-C21</f>
        <v>7</v>
      </c>
      <c r="D24" s="72">
        <f t="shared" si="35"/>
        <v>898</v>
      </c>
      <c r="E24" s="72">
        <f t="shared" si="35"/>
        <v>981</v>
      </c>
      <c r="F24" s="72">
        <f t="shared" si="35"/>
        <v>668</v>
      </c>
      <c r="G24" s="72">
        <f t="shared" si="35"/>
        <v>473</v>
      </c>
      <c r="H24" s="72">
        <f t="shared" si="35"/>
        <v>231</v>
      </c>
      <c r="I24" s="72">
        <f t="shared" si="35"/>
        <v>343</v>
      </c>
      <c r="J24" s="72">
        <f t="shared" si="35"/>
        <v>0</v>
      </c>
      <c r="K24" s="48">
        <f t="shared" si="35"/>
        <v>0</v>
      </c>
      <c r="L24" s="48">
        <f t="shared" si="35"/>
        <v>457</v>
      </c>
      <c r="M24" s="48">
        <f t="shared" si="35"/>
        <v>0</v>
      </c>
      <c r="N24" s="48">
        <f t="shared" si="35"/>
        <v>710</v>
      </c>
      <c r="O24" s="26"/>
      <c r="P24" s="48">
        <f t="shared" si="35"/>
        <v>333</v>
      </c>
      <c r="Q24" s="48">
        <f t="shared" si="35"/>
        <v>395</v>
      </c>
      <c r="R24" s="48">
        <f t="shared" si="35"/>
        <v>701</v>
      </c>
      <c r="S24" s="48">
        <f t="shared" si="35"/>
        <v>651</v>
      </c>
      <c r="T24" s="48">
        <f t="shared" si="35"/>
        <v>801</v>
      </c>
      <c r="U24" s="48">
        <f t="shared" si="35"/>
        <v>951</v>
      </c>
      <c r="V24" s="48">
        <f t="shared" si="35"/>
        <v>1217</v>
      </c>
      <c r="W24" s="48">
        <f t="shared" si="35"/>
        <v>717</v>
      </c>
      <c r="X24" s="48">
        <f t="shared" si="35"/>
        <v>617</v>
      </c>
      <c r="Y24" s="48">
        <f t="shared" si="35"/>
        <v>467</v>
      </c>
      <c r="Z24" s="48">
        <f t="shared" si="35"/>
        <v>317</v>
      </c>
      <c r="AA24" s="48">
        <f t="shared" si="35"/>
        <v>467</v>
      </c>
      <c r="AB24" s="26"/>
      <c r="AC24" s="48">
        <f t="shared" ref="AC24:AN24" si="36">AC19+AC20+AC23-AC21</f>
        <v>467</v>
      </c>
      <c r="AD24" s="48">
        <f t="shared" si="36"/>
        <v>467</v>
      </c>
      <c r="AE24" s="48">
        <f t="shared" si="36"/>
        <v>467</v>
      </c>
      <c r="AF24" s="48">
        <f t="shared" si="36"/>
        <v>518</v>
      </c>
      <c r="AG24" s="48">
        <f t="shared" si="36"/>
        <v>671</v>
      </c>
      <c r="AH24" s="48">
        <f t="shared" si="36"/>
        <v>824</v>
      </c>
      <c r="AI24" s="48">
        <f t="shared" si="36"/>
        <v>926</v>
      </c>
      <c r="AJ24" s="48">
        <f t="shared" si="36"/>
        <v>926</v>
      </c>
      <c r="AK24" s="48">
        <f t="shared" si="36"/>
        <v>722</v>
      </c>
      <c r="AL24" s="48">
        <f t="shared" si="36"/>
        <v>569</v>
      </c>
      <c r="AM24" s="48">
        <f t="shared" si="36"/>
        <v>416</v>
      </c>
      <c r="AN24" s="48">
        <f t="shared" si="36"/>
        <v>365</v>
      </c>
      <c r="AO24" s="26"/>
    </row>
    <row r="25" spans="1:41" ht="15" thickBot="1" x14ac:dyDescent="0.4">
      <c r="A25" s="164"/>
      <c r="B25" s="34" t="s">
        <v>59</v>
      </c>
      <c r="C25" s="35">
        <f>IF(C24=0,0,IFERROR((((C24)/(AVERAGE(D21:E21)))*4.3),"∞"))</f>
        <v>0.10100671140939597</v>
      </c>
      <c r="D25" s="35">
        <f t="shared" ref="D25:L25" si="37">IF(D24=0,0,IFERROR((((D24)/(AVERAGE(E21:F21)))*4.3),"∞"))</f>
        <v>8.5808888888888877</v>
      </c>
      <c r="E25" s="35">
        <f t="shared" si="37"/>
        <v>16.607480314960629</v>
      </c>
      <c r="F25" s="35">
        <f t="shared" si="37"/>
        <v>13.14599542334096</v>
      </c>
      <c r="G25" s="35">
        <f t="shared" si="37"/>
        <v>5.5647058823529409</v>
      </c>
      <c r="H25" s="35">
        <f t="shared" si="37"/>
        <v>2.3877403846153848</v>
      </c>
      <c r="I25" s="35">
        <f t="shared" si="37"/>
        <v>4.2688856729377713</v>
      </c>
      <c r="J25" s="35">
        <f t="shared" si="37"/>
        <v>0</v>
      </c>
      <c r="K25" s="35">
        <f t="shared" si="37"/>
        <v>0</v>
      </c>
      <c r="L25" s="35">
        <f t="shared" si="37"/>
        <v>7.2512915129151292</v>
      </c>
      <c r="M25" s="35">
        <f>IF(M24=0,0,IFERROR((((M24)/(AVERAGE(N21,P21)))*4.3),"∞"))</f>
        <v>0</v>
      </c>
      <c r="N25" s="35">
        <f>IF(N24=0,0,IFERROR((((N24)/(AVERAGE(P21:Q21)))*4.3),"∞"))</f>
        <v>11.856310679611651</v>
      </c>
      <c r="O25" s="36"/>
      <c r="P25" s="35">
        <f>IF(P24=0,0,IFERROR((((P24)/(AVERAGE(Q21:R21)))*4.3),"∞"))</f>
        <v>12.343965517241378</v>
      </c>
      <c r="Q25" s="35">
        <f t="shared" ref="Q25:Y25" si="38">IF(Q24=0,0,IFERROR((((Q24)/(AVERAGE(R21:S21)))*4.3),"∞"))</f>
        <v>6.2444852941176467</v>
      </c>
      <c r="R25" s="35">
        <f t="shared" si="38"/>
        <v>6.6984444444444442</v>
      </c>
      <c r="S25" s="35">
        <f t="shared" si="38"/>
        <v>6.2206666666666672</v>
      </c>
      <c r="T25" s="35">
        <f t="shared" si="38"/>
        <v>7.251157894736842</v>
      </c>
      <c r="U25" s="35">
        <f t="shared" si="38"/>
        <v>8.1785999999999994</v>
      </c>
      <c r="V25" s="35">
        <f t="shared" si="38"/>
        <v>10.466200000000001</v>
      </c>
      <c r="W25" s="35">
        <f t="shared" si="38"/>
        <v>6.4907368421052629</v>
      </c>
      <c r="X25" s="35">
        <f t="shared" si="38"/>
        <v>5.895777777777778</v>
      </c>
      <c r="Y25" s="35">
        <f t="shared" si="38"/>
        <v>5.0202499999999999</v>
      </c>
      <c r="Z25" s="35">
        <f>IF(Z24=0,0,IFERROR((((Z24)/(AVERAGE(AA21,AC21)))*4.3),"∞"))</f>
        <v>3.6349333333333336</v>
      </c>
      <c r="AA25" s="35">
        <f>IF(AA24=0,0,IFERROR((((AA24)/(AVERAGE(AC21:AD21)))*4.3),"∞"))</f>
        <v>5.0202499999999999</v>
      </c>
      <c r="AB25" s="36"/>
      <c r="AC25" s="35">
        <f>IF(AC24=0,0,IFERROR((((AC24)/(AVERAGE(AD21:AE21)))*4.3),"∞"))</f>
        <v>4.9705445544554454</v>
      </c>
      <c r="AD25" s="35">
        <f t="shared" ref="AD25" si="39">IF(AD24=0,0,IFERROR((((AD24)/(AVERAGE(AE21:AF21)))*4.3),"∞"))</f>
        <v>4.6322952710495962</v>
      </c>
      <c r="AE25" s="35">
        <f t="shared" ref="AE25" si="40">IF(AE24=0,0,IFERROR((((AE24)/(AVERAGE(AF21:AG21)))*4.3),"∞"))</f>
        <v>4.374945533769063</v>
      </c>
      <c r="AF25" s="35">
        <f t="shared" ref="AF25" si="41">IF(AF24=0,0,IFERROR((((AF24)/(AVERAGE(AG21:AH21)))*4.3),"∞"))</f>
        <v>4.8527233115468409</v>
      </c>
      <c r="AG25" s="35">
        <f t="shared" ref="AG25" si="42">IF(AG24=0,0,IFERROR((((AG24)/(AVERAGE(AH21:AI21)))*4.3),"∞"))</f>
        <v>5.9552115583075329</v>
      </c>
      <c r="AH25" s="35">
        <f t="shared" ref="AH25" si="43">IF(AH24=0,0,IFERROR((((AH24)/(AVERAGE(AI21:AJ21)))*4.3),"∞"))</f>
        <v>6.9474509803921567</v>
      </c>
      <c r="AI25" s="35">
        <f t="shared" ref="AI25" si="44">IF(AI24=0,0,IFERROR((((AI24)/(AVERAGE(AJ21:AK21)))*4.3),"∞"))</f>
        <v>7.8074509803921561</v>
      </c>
      <c r="AJ25" s="35">
        <f t="shared" ref="AJ25" si="45">IF(AJ24=0,0,IFERROR((((AJ24)/(AVERAGE(AK21:AL21)))*4.3),"∞"))</f>
        <v>8.2183694530443745</v>
      </c>
      <c r="AK25" s="35">
        <f t="shared" ref="AK25" si="46">IF(AK24=0,0,IFERROR((((AK24)/(AVERAGE(AL21:AM21)))*4.3),"∞"))</f>
        <v>6.7638344226579523</v>
      </c>
      <c r="AL25" s="35">
        <f t="shared" ref="AL25" si="47">IF(AL24=0,0,IFERROR((((AL24)/(AVERAGE(AM21:AN21)))*4.3),"∞"))</f>
        <v>5.9968137254901954</v>
      </c>
      <c r="AM25" s="35">
        <f>IF(AM24=0,0,IFERROR((((AM24)/(AVERAGE(AN21,AP21)))*4.3),"∞"))</f>
        <v>5.0106442577030812</v>
      </c>
      <c r="AN25" s="35" t="str">
        <f>IF(AN24=0,0,IFERROR((((AN24)/(AVERAGE(AP21:AQ21)))*4.3),"∞"))</f>
        <v>∞</v>
      </c>
      <c r="AO25" s="36"/>
    </row>
    <row r="26" spans="1:41" s="23" customFormat="1" ht="15" thickBot="1" x14ac:dyDescent="0.4">
      <c r="A26" s="22"/>
      <c r="C26" s="74"/>
      <c r="D26" s="74"/>
      <c r="E26" s="74"/>
      <c r="F26" s="74"/>
      <c r="G26" s="74"/>
      <c r="H26" s="74"/>
      <c r="I26" s="74"/>
      <c r="J26" s="74"/>
      <c r="K26" s="24"/>
      <c r="L26" s="24"/>
      <c r="M26" s="24"/>
      <c r="N26" s="24"/>
      <c r="O26" s="25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7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74"/>
    </row>
    <row r="27" spans="1:41" ht="14.5" customHeight="1" x14ac:dyDescent="0.35">
      <c r="A27" s="162" t="str">
        <f>'IMS vs FRCST'!B6</f>
        <v>Al Fakher Mint 1kg</v>
      </c>
      <c r="B27" s="21" t="s">
        <v>53</v>
      </c>
      <c r="C27" s="70">
        <v>0</v>
      </c>
      <c r="D27" s="70">
        <f>C32</f>
        <v>47</v>
      </c>
      <c r="E27" s="70">
        <v>0</v>
      </c>
      <c r="F27" s="70">
        <f t="shared" ref="F27:N27" si="48">E32</f>
        <v>80</v>
      </c>
      <c r="G27" s="70">
        <f t="shared" si="48"/>
        <v>-120</v>
      </c>
      <c r="H27" s="70">
        <f t="shared" si="48"/>
        <v>-464</v>
      </c>
      <c r="I27" s="70">
        <f t="shared" si="48"/>
        <v>-529</v>
      </c>
      <c r="J27" s="76">
        <f t="shared" si="48"/>
        <v>984</v>
      </c>
      <c r="K27" s="32">
        <f t="shared" si="48"/>
        <v>636</v>
      </c>
      <c r="L27" s="32">
        <f t="shared" si="48"/>
        <v>230</v>
      </c>
      <c r="M27" s="32">
        <f t="shared" si="48"/>
        <v>935</v>
      </c>
      <c r="N27" s="32">
        <f t="shared" si="48"/>
        <v>326</v>
      </c>
      <c r="O27" s="33"/>
      <c r="P27" s="32">
        <f>N32</f>
        <v>1519</v>
      </c>
      <c r="Q27" s="32">
        <f>P32</f>
        <v>1219</v>
      </c>
      <c r="R27" s="32">
        <f t="shared" ref="R27:AA27" si="49">Q32</f>
        <v>1284</v>
      </c>
      <c r="S27" s="32">
        <f t="shared" si="49"/>
        <v>1748</v>
      </c>
      <c r="T27" s="32">
        <f t="shared" si="49"/>
        <v>1698</v>
      </c>
      <c r="U27" s="32">
        <f t="shared" si="49"/>
        <v>1898</v>
      </c>
      <c r="V27" s="32">
        <f t="shared" si="49"/>
        <v>1998</v>
      </c>
      <c r="W27" s="32">
        <f t="shared" si="49"/>
        <v>1848</v>
      </c>
      <c r="X27" s="32">
        <f t="shared" si="49"/>
        <v>1398</v>
      </c>
      <c r="Y27" s="32">
        <f t="shared" si="49"/>
        <v>948</v>
      </c>
      <c r="Z27" s="32">
        <f t="shared" si="49"/>
        <v>498</v>
      </c>
      <c r="AA27" s="32">
        <f t="shared" si="49"/>
        <v>398</v>
      </c>
      <c r="AB27" s="33"/>
      <c r="AC27" s="32">
        <f>AA32</f>
        <v>648</v>
      </c>
      <c r="AD27" s="32">
        <f>AC32</f>
        <v>648</v>
      </c>
      <c r="AE27" s="32">
        <f t="shared" ref="AE27:AN27" si="50">AD32</f>
        <v>648</v>
      </c>
      <c r="AF27" s="32">
        <f t="shared" si="50"/>
        <v>648</v>
      </c>
      <c r="AG27" s="32">
        <f t="shared" si="50"/>
        <v>750</v>
      </c>
      <c r="AH27" s="32">
        <f t="shared" si="50"/>
        <v>852</v>
      </c>
      <c r="AI27" s="32">
        <f t="shared" si="50"/>
        <v>954</v>
      </c>
      <c r="AJ27" s="32">
        <f t="shared" si="50"/>
        <v>1056</v>
      </c>
      <c r="AK27" s="32">
        <f t="shared" si="50"/>
        <v>1158</v>
      </c>
      <c r="AL27" s="32">
        <f t="shared" si="50"/>
        <v>1209</v>
      </c>
      <c r="AM27" s="32">
        <f t="shared" si="50"/>
        <v>1260</v>
      </c>
      <c r="AN27" s="32">
        <f t="shared" si="50"/>
        <v>1311</v>
      </c>
      <c r="AO27" s="33"/>
    </row>
    <row r="28" spans="1:41" x14ac:dyDescent="0.35">
      <c r="A28" s="163"/>
      <c r="B28" s="4" t="s">
        <v>54</v>
      </c>
      <c r="C28" s="71"/>
      <c r="D28" s="71"/>
      <c r="E28" s="71"/>
      <c r="F28" s="71"/>
      <c r="G28" s="71"/>
      <c r="H28" s="71"/>
      <c r="I28" s="75">
        <v>529</v>
      </c>
      <c r="J28" s="71"/>
      <c r="K28" s="27"/>
      <c r="L28" s="27"/>
      <c r="M28" s="27"/>
      <c r="N28" s="27"/>
      <c r="O28" s="26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6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6"/>
    </row>
    <row r="29" spans="1:41" s="6" customFormat="1" x14ac:dyDescent="0.35">
      <c r="A29" s="163"/>
      <c r="B29" s="42" t="s">
        <v>55</v>
      </c>
      <c r="C29" s="44">
        <f>'IMS vs FRCST'!C6</f>
        <v>702</v>
      </c>
      <c r="D29" s="44">
        <f>'IMS vs FRCST'!D6</f>
        <v>198</v>
      </c>
      <c r="E29" s="44">
        <f>'IMS vs FRCST'!E6</f>
        <v>920</v>
      </c>
      <c r="F29" s="44">
        <f>'IMS vs FRCST'!F6</f>
        <v>200</v>
      </c>
      <c r="G29" s="44">
        <f>'IMS vs FRCST'!G6</f>
        <v>344</v>
      </c>
      <c r="H29" s="44">
        <f>'IMS vs FRCST'!H6</f>
        <v>65</v>
      </c>
      <c r="I29" s="44">
        <f>'IMS vs FRCST'!I6</f>
        <v>515</v>
      </c>
      <c r="J29" s="44">
        <f>'IMS vs FRCST'!J6</f>
        <v>348</v>
      </c>
      <c r="K29" s="43">
        <f>'IMS vs FRCST'!K6</f>
        <v>406</v>
      </c>
      <c r="L29" s="43">
        <f>'IMS vs FRCST'!L6</f>
        <v>644</v>
      </c>
      <c r="M29" s="43">
        <f>'IMS vs FRCST'!M6</f>
        <v>609</v>
      </c>
      <c r="N29" s="43">
        <f>'IMS vs FRCST'!N6</f>
        <v>56</v>
      </c>
      <c r="O29" s="26">
        <f>SUM(C29:N29)</f>
        <v>5007</v>
      </c>
      <c r="P29" s="28">
        <f>'IMS vs FRCST'!P6</f>
        <v>300</v>
      </c>
      <c r="Q29" s="28">
        <f>'IMS vs FRCST'!Q6</f>
        <v>49</v>
      </c>
      <c r="R29" s="28">
        <f>'IMS vs FRCST'!R6</f>
        <v>86</v>
      </c>
      <c r="S29" s="28">
        <f>'IMS vs FRCST'!S6</f>
        <v>450</v>
      </c>
      <c r="T29" s="28">
        <f>'IMS vs FRCST'!T6</f>
        <v>450</v>
      </c>
      <c r="U29" s="28">
        <f>'IMS vs FRCST'!U6</f>
        <v>450</v>
      </c>
      <c r="V29" s="28">
        <f>'IMS vs FRCST'!V6</f>
        <v>450</v>
      </c>
      <c r="W29" s="28">
        <f>'IMS vs FRCST'!W6</f>
        <v>450</v>
      </c>
      <c r="X29" s="28">
        <f>'IMS vs FRCST'!X6</f>
        <v>450</v>
      </c>
      <c r="Y29" s="28">
        <f>'IMS vs FRCST'!Y6</f>
        <v>450</v>
      </c>
      <c r="Z29" s="28">
        <f>'IMS vs FRCST'!Z6</f>
        <v>450</v>
      </c>
      <c r="AA29" s="28">
        <f>'IMS vs FRCST'!AA6</f>
        <v>250</v>
      </c>
      <c r="AB29" s="26">
        <f>SUM(P29:AA29)</f>
        <v>4285</v>
      </c>
      <c r="AC29" s="28">
        <f>'IMS vs FRCST'!AC6</f>
        <v>550</v>
      </c>
      <c r="AD29" s="28">
        <f>'IMS vs FRCST'!AD6</f>
        <v>550</v>
      </c>
      <c r="AE29" s="28">
        <f>'IMS vs FRCST'!AE6</f>
        <v>561</v>
      </c>
      <c r="AF29" s="28">
        <f>'IMS vs FRCST'!AF6</f>
        <v>459</v>
      </c>
      <c r="AG29" s="28">
        <f>'IMS vs FRCST'!AG6</f>
        <v>459</v>
      </c>
      <c r="AH29" s="28">
        <f>'IMS vs FRCST'!AH6</f>
        <v>459</v>
      </c>
      <c r="AI29" s="28">
        <f>'IMS vs FRCST'!AI6</f>
        <v>459</v>
      </c>
      <c r="AJ29" s="28">
        <f>'IMS vs FRCST'!AJ6</f>
        <v>459</v>
      </c>
      <c r="AK29" s="28">
        <f>'IMS vs FRCST'!AK6</f>
        <v>459</v>
      </c>
      <c r="AL29" s="28">
        <f>'IMS vs FRCST'!AL6</f>
        <v>459</v>
      </c>
      <c r="AM29" s="28">
        <f>'IMS vs FRCST'!AM6</f>
        <v>459</v>
      </c>
      <c r="AN29" s="28">
        <f>'IMS vs FRCST'!AN6</f>
        <v>255</v>
      </c>
      <c r="AO29" s="26">
        <f>SUM(AC29:AN29)</f>
        <v>5588</v>
      </c>
    </row>
    <row r="30" spans="1:41" x14ac:dyDescent="0.35">
      <c r="A30" s="163"/>
      <c r="B30" s="4" t="s">
        <v>56</v>
      </c>
      <c r="C30" s="71">
        <f>'Shipment (Production)'!G7</f>
        <v>749</v>
      </c>
      <c r="D30" s="71">
        <f>'Shipment (Production)'!L7</f>
        <v>680</v>
      </c>
      <c r="E30" s="71">
        <f>'Shipment (Production)'!Q7</f>
        <v>1000</v>
      </c>
      <c r="F30" s="71">
        <f>'Shipment (Production)'!V7</f>
        <v>0</v>
      </c>
      <c r="G30" s="71">
        <f>'Shipment (Production)'!AA7</f>
        <v>0</v>
      </c>
      <c r="H30" s="71">
        <f>'Shipment (Production)'!AF7</f>
        <v>0</v>
      </c>
      <c r="I30" s="71">
        <f>'Shipment (Production)'!AK7</f>
        <v>1499</v>
      </c>
      <c r="J30" s="71">
        <f>'Shipment (Production)'!AP7</f>
        <v>0</v>
      </c>
      <c r="K30" s="27">
        <f>'Shipment (Production)'!AU7</f>
        <v>839</v>
      </c>
      <c r="L30" s="27">
        <f>'Shipment (Production)'!AZ7</f>
        <v>510</v>
      </c>
      <c r="M30" s="27">
        <f>'Shipment (Production)'!BE7</f>
        <v>510</v>
      </c>
      <c r="N30" s="27">
        <f>'Shipment (Production)'!BJ7</f>
        <v>739</v>
      </c>
      <c r="O30" s="26">
        <f>SUM(C30:N30)</f>
        <v>6526</v>
      </c>
      <c r="P30" s="27">
        <f>'Shipment (Production)'!BP7</f>
        <v>114</v>
      </c>
      <c r="Q30" s="27">
        <f>'Shipment (Production)'!BU7</f>
        <v>550</v>
      </c>
      <c r="R30" s="27">
        <f>'Shipment (Production)'!BZ7</f>
        <v>400</v>
      </c>
      <c r="S30" s="27">
        <f>'Shipment (Production)'!CE7</f>
        <v>650</v>
      </c>
      <c r="T30" s="27">
        <f>'Shipment (Production)'!CJ7</f>
        <v>550</v>
      </c>
      <c r="U30" s="27">
        <f>'Shipment (Production)'!CO7</f>
        <v>300</v>
      </c>
      <c r="V30" s="27">
        <f>'Shipment (Production)'!CT7</f>
        <v>0</v>
      </c>
      <c r="W30" s="27">
        <f>'Shipment (Production)'!CY7</f>
        <v>0</v>
      </c>
      <c r="X30" s="27">
        <f>'Shipment (Production)'!DD7</f>
        <v>0</v>
      </c>
      <c r="Y30" s="27">
        <f>'Shipment (Production)'!DI7</f>
        <v>350</v>
      </c>
      <c r="Z30" s="27">
        <f>'Shipment (Production)'!DN7</f>
        <v>300</v>
      </c>
      <c r="AA30" s="27">
        <f>'Shipment (Production)'!DS7</f>
        <v>200</v>
      </c>
      <c r="AB30" s="26">
        <f>SUM(P30:AA30)</f>
        <v>3414</v>
      </c>
      <c r="AC30" s="27">
        <f>'Shipment (Production)'!DY7</f>
        <v>550</v>
      </c>
      <c r="AD30" s="27">
        <f>'Shipment (Production)'!DZ7</f>
        <v>550</v>
      </c>
      <c r="AE30" s="27">
        <f>'Shipment (Production)'!EI7</f>
        <v>561</v>
      </c>
      <c r="AF30" s="27">
        <f>'Shipment (Production)'!EN7</f>
        <v>561</v>
      </c>
      <c r="AG30" s="27">
        <f>'Shipment (Production)'!ES7</f>
        <v>561</v>
      </c>
      <c r="AH30" s="27">
        <f>'Shipment (Production)'!EX7</f>
        <v>561</v>
      </c>
      <c r="AI30" s="27">
        <f>'Shipment (Production)'!FC7</f>
        <v>561</v>
      </c>
      <c r="AJ30" s="27">
        <f>'Shipment (Production)'!FH7</f>
        <v>561</v>
      </c>
      <c r="AK30" s="27">
        <f>'Shipment (Production)'!FM7</f>
        <v>510</v>
      </c>
      <c r="AL30" s="27">
        <f>'Shipment (Production)'!FR7</f>
        <v>510</v>
      </c>
      <c r="AM30" s="27">
        <f>'Shipment (Production)'!FW7</f>
        <v>510</v>
      </c>
      <c r="AN30" s="27">
        <f>'Shipment (Production)'!GB7</f>
        <v>510</v>
      </c>
      <c r="AO30" s="26">
        <f>SUM(AC30:AN30)</f>
        <v>6506</v>
      </c>
    </row>
    <row r="31" spans="1:41" x14ac:dyDescent="0.35">
      <c r="A31" s="163"/>
      <c r="B31" s="4" t="s">
        <v>57</v>
      </c>
      <c r="C31" s="71">
        <f>'Arrival to Regie'!G7</f>
        <v>749</v>
      </c>
      <c r="D31" s="71">
        <f>'Arrival to Regie'!L7</f>
        <v>680</v>
      </c>
      <c r="E31" s="71">
        <f>'Arrival to Regie'!Q7</f>
        <v>1000</v>
      </c>
      <c r="F31" s="71">
        <f>'Arrival to Regie'!V7</f>
        <v>0</v>
      </c>
      <c r="G31" s="71">
        <f>'Arrival to Regie'!AA7</f>
        <v>0</v>
      </c>
      <c r="H31" s="71">
        <f>'Arrival to Regie'!AF7</f>
        <v>0</v>
      </c>
      <c r="I31" s="71">
        <f>'Arrival to Regie'!AK7</f>
        <v>1499</v>
      </c>
      <c r="J31" s="71">
        <f>'Arrival to Regie'!AP7</f>
        <v>0</v>
      </c>
      <c r="K31" s="27">
        <f>'Arrival to Regie'!AU7</f>
        <v>0</v>
      </c>
      <c r="L31" s="27">
        <f>'Arrival to Regie'!AZ7</f>
        <v>1349</v>
      </c>
      <c r="M31" s="27">
        <f>'Arrival to Regie'!BE7</f>
        <v>0</v>
      </c>
      <c r="N31" s="27">
        <f>'Arrival to Regie'!BJ7</f>
        <v>1249</v>
      </c>
      <c r="O31" s="26">
        <f>SUM(C31:N31)</f>
        <v>6526</v>
      </c>
      <c r="P31" s="27">
        <f>'Arrival to Regie'!BP7</f>
        <v>0</v>
      </c>
      <c r="Q31" s="27">
        <f>'Arrival to Regie'!BU7</f>
        <v>114</v>
      </c>
      <c r="R31" s="27">
        <f>'Arrival to Regie'!BZ7</f>
        <v>550</v>
      </c>
      <c r="S31" s="27">
        <f>'Arrival to Regie'!CE7</f>
        <v>400</v>
      </c>
      <c r="T31" s="27">
        <f>'Arrival to Regie'!CJ7</f>
        <v>650</v>
      </c>
      <c r="U31" s="27">
        <f>'Arrival to Regie'!CO7</f>
        <v>550</v>
      </c>
      <c r="V31" s="27">
        <f>'Arrival to Regie'!CT7</f>
        <v>300</v>
      </c>
      <c r="W31" s="27">
        <f>'Arrival to Regie'!CY7</f>
        <v>0</v>
      </c>
      <c r="X31" s="27">
        <f>'Arrival to Regie'!DD7</f>
        <v>0</v>
      </c>
      <c r="Y31" s="27">
        <f>'Arrival to Regie'!DI7</f>
        <v>0</v>
      </c>
      <c r="Z31" s="27">
        <f>'Arrival to Regie'!DN7</f>
        <v>350</v>
      </c>
      <c r="AA31" s="27">
        <f>'Arrival to Regie'!DS7</f>
        <v>500</v>
      </c>
      <c r="AB31" s="26">
        <f>SUM(P31:AA31)</f>
        <v>3414</v>
      </c>
      <c r="AC31" s="27">
        <f>'Arrival to Regie'!DY7</f>
        <v>550</v>
      </c>
      <c r="AD31" s="27">
        <f>'Arrival to Regie'!ED7</f>
        <v>550</v>
      </c>
      <c r="AE31" s="27">
        <f>'Arrival to Regie'!EI7</f>
        <v>561</v>
      </c>
      <c r="AF31" s="27">
        <f>'Arrival to Regie'!EN7</f>
        <v>561</v>
      </c>
      <c r="AG31" s="27">
        <f>'Arrival to Regie'!ES7</f>
        <v>561</v>
      </c>
      <c r="AH31" s="27">
        <f>'Arrival to Regie'!EX7</f>
        <v>561</v>
      </c>
      <c r="AI31" s="27">
        <f>'Arrival to Regie'!FC7</f>
        <v>561</v>
      </c>
      <c r="AJ31" s="27">
        <f>'Arrival to Regie'!FH7</f>
        <v>561</v>
      </c>
      <c r="AK31" s="27">
        <f>'Arrival to Regie'!FM7</f>
        <v>510</v>
      </c>
      <c r="AL31" s="27">
        <f>'Arrival to Regie'!FR7</f>
        <v>510</v>
      </c>
      <c r="AM31" s="27">
        <f>'Arrival to Regie'!FW7</f>
        <v>510</v>
      </c>
      <c r="AN31" s="27">
        <f>'Arrival to Regie'!GB7</f>
        <v>510</v>
      </c>
      <c r="AO31" s="26">
        <f>SUM(AC31:AN31)</f>
        <v>6506</v>
      </c>
    </row>
    <row r="32" spans="1:41" x14ac:dyDescent="0.35">
      <c r="A32" s="163"/>
      <c r="B32" s="47" t="s">
        <v>58</v>
      </c>
      <c r="C32" s="72">
        <f t="shared" ref="C32:AA32" si="51">C27+C28+C31-C29</f>
        <v>47</v>
      </c>
      <c r="D32" s="72">
        <f t="shared" si="51"/>
        <v>529</v>
      </c>
      <c r="E32" s="72">
        <f t="shared" si="51"/>
        <v>80</v>
      </c>
      <c r="F32" s="72">
        <f t="shared" si="51"/>
        <v>-120</v>
      </c>
      <c r="G32" s="72">
        <f t="shared" si="51"/>
        <v>-464</v>
      </c>
      <c r="H32" s="72">
        <f t="shared" si="51"/>
        <v>-529</v>
      </c>
      <c r="I32" s="72">
        <f t="shared" si="51"/>
        <v>984</v>
      </c>
      <c r="J32" s="72">
        <f t="shared" si="51"/>
        <v>636</v>
      </c>
      <c r="K32" s="48">
        <f t="shared" si="51"/>
        <v>230</v>
      </c>
      <c r="L32" s="48">
        <f t="shared" si="51"/>
        <v>935</v>
      </c>
      <c r="M32" s="48">
        <f t="shared" si="51"/>
        <v>326</v>
      </c>
      <c r="N32" s="48">
        <f t="shared" si="51"/>
        <v>1519</v>
      </c>
      <c r="O32" s="26"/>
      <c r="P32" s="48">
        <f t="shared" si="51"/>
        <v>1219</v>
      </c>
      <c r="Q32" s="48">
        <f t="shared" si="51"/>
        <v>1284</v>
      </c>
      <c r="R32" s="48">
        <f t="shared" si="51"/>
        <v>1748</v>
      </c>
      <c r="S32" s="48">
        <f t="shared" si="51"/>
        <v>1698</v>
      </c>
      <c r="T32" s="48">
        <f t="shared" si="51"/>
        <v>1898</v>
      </c>
      <c r="U32" s="48">
        <f t="shared" si="51"/>
        <v>1998</v>
      </c>
      <c r="V32" s="48">
        <f t="shared" si="51"/>
        <v>1848</v>
      </c>
      <c r="W32" s="48">
        <f t="shared" si="51"/>
        <v>1398</v>
      </c>
      <c r="X32" s="48">
        <f t="shared" si="51"/>
        <v>948</v>
      </c>
      <c r="Y32" s="48">
        <f t="shared" si="51"/>
        <v>498</v>
      </c>
      <c r="Z32" s="48">
        <f t="shared" si="51"/>
        <v>398</v>
      </c>
      <c r="AA32" s="48">
        <f t="shared" si="51"/>
        <v>648</v>
      </c>
      <c r="AB32" s="26"/>
      <c r="AC32" s="48">
        <f t="shared" ref="AC32:AN32" si="52">AC27+AC28+AC31-AC29</f>
        <v>648</v>
      </c>
      <c r="AD32" s="48">
        <f t="shared" si="52"/>
        <v>648</v>
      </c>
      <c r="AE32" s="48">
        <f t="shared" si="52"/>
        <v>648</v>
      </c>
      <c r="AF32" s="48">
        <f t="shared" si="52"/>
        <v>750</v>
      </c>
      <c r="AG32" s="48">
        <f t="shared" si="52"/>
        <v>852</v>
      </c>
      <c r="AH32" s="48">
        <f t="shared" si="52"/>
        <v>954</v>
      </c>
      <c r="AI32" s="48">
        <f t="shared" si="52"/>
        <v>1056</v>
      </c>
      <c r="AJ32" s="48">
        <f t="shared" si="52"/>
        <v>1158</v>
      </c>
      <c r="AK32" s="48">
        <f t="shared" si="52"/>
        <v>1209</v>
      </c>
      <c r="AL32" s="48">
        <f t="shared" si="52"/>
        <v>1260</v>
      </c>
      <c r="AM32" s="48">
        <f t="shared" si="52"/>
        <v>1311</v>
      </c>
      <c r="AN32" s="48">
        <f t="shared" si="52"/>
        <v>1566</v>
      </c>
      <c r="AO32" s="26"/>
    </row>
    <row r="33" spans="1:41" ht="15" thickBot="1" x14ac:dyDescent="0.4">
      <c r="A33" s="164"/>
      <c r="B33" s="34" t="s">
        <v>59</v>
      </c>
      <c r="C33" s="35">
        <f>IF(C32=0,0,IFERROR((((C32)/(AVERAGE(D29:E29)))*4.3),"∞"))</f>
        <v>0.36153846153846153</v>
      </c>
      <c r="D33" s="35">
        <f t="shared" ref="D33:L33" si="53">IF(D32=0,0,IFERROR((((D32)/(AVERAGE(E29:F29)))*4.3),"∞"))</f>
        <v>4.0619642857142857</v>
      </c>
      <c r="E33" s="35">
        <f t="shared" si="53"/>
        <v>1.2647058823529411</v>
      </c>
      <c r="F33" s="35">
        <f t="shared" si="53"/>
        <v>-2.5232273838630808</v>
      </c>
      <c r="G33" s="35">
        <f t="shared" si="53"/>
        <v>-6.88</v>
      </c>
      <c r="H33" s="35">
        <f t="shared" si="53"/>
        <v>-5.271610660486675</v>
      </c>
      <c r="I33" s="35">
        <f t="shared" si="53"/>
        <v>11.223342175066314</v>
      </c>
      <c r="J33" s="35">
        <f t="shared" si="53"/>
        <v>5.2091428571428571</v>
      </c>
      <c r="K33" s="35">
        <f t="shared" si="53"/>
        <v>1.5786113328012767</v>
      </c>
      <c r="L33" s="35">
        <f t="shared" si="53"/>
        <v>12.091729323308272</v>
      </c>
      <c r="M33" s="35">
        <f>IF(M32=0,0,IFERROR((((M32)/(AVERAGE(N29,P29)))*4.3),"∞"))</f>
        <v>7.8752808988764045</v>
      </c>
      <c r="N33" s="35">
        <f>IF(N32=0,0,IFERROR((((N32)/(AVERAGE(P29:Q29)))*4.3),"∞"))</f>
        <v>37.430945558739253</v>
      </c>
      <c r="O33" s="36"/>
      <c r="P33" s="35">
        <f>IF(P32=0,0,IFERROR((((P32)/(AVERAGE(Q29:R29)))*4.3),"∞"))</f>
        <v>77.654814814814813</v>
      </c>
      <c r="Q33" s="35">
        <f t="shared" ref="Q33:Y33" si="54">IF(Q32=0,0,IFERROR((((Q32)/(AVERAGE(R29:S29)))*4.3),"∞"))</f>
        <v>20.60149253731343</v>
      </c>
      <c r="R33" s="35">
        <f t="shared" si="54"/>
        <v>16.703111111111109</v>
      </c>
      <c r="S33" s="35">
        <f t="shared" si="54"/>
        <v>16.225333333333332</v>
      </c>
      <c r="T33" s="35">
        <f t="shared" si="54"/>
        <v>18.136444444444447</v>
      </c>
      <c r="U33" s="35">
        <f t="shared" si="54"/>
        <v>19.092000000000002</v>
      </c>
      <c r="V33" s="35">
        <f t="shared" si="54"/>
        <v>17.658666666666665</v>
      </c>
      <c r="W33" s="35">
        <f t="shared" si="54"/>
        <v>13.358666666666664</v>
      </c>
      <c r="X33" s="35">
        <f t="shared" si="54"/>
        <v>9.0586666666666655</v>
      </c>
      <c r="Y33" s="35">
        <f t="shared" si="54"/>
        <v>6.1182857142857134</v>
      </c>
      <c r="Z33" s="35">
        <f>IF(Z32=0,0,IFERROR((((Z32)/(AVERAGE(AA29,AC29)))*4.3),"∞"))</f>
        <v>4.2785000000000002</v>
      </c>
      <c r="AA33" s="35">
        <f>IF(AA32=0,0,IFERROR((((AA32)/(AVERAGE(AC29:AD29)))*4.3),"∞"))</f>
        <v>5.0661818181818186</v>
      </c>
      <c r="AB33" s="36"/>
      <c r="AC33" s="35">
        <f>IF(AC32=0,0,IFERROR((((AC32)/(AVERAGE(AD29:AE29)))*4.3),"∞"))</f>
        <v>5.0160216021602162</v>
      </c>
      <c r="AD33" s="35">
        <f t="shared" ref="AD33" si="55">IF(AD32=0,0,IFERROR((((AD32)/(AVERAGE(AE29:AF29)))*4.3),"∞"))</f>
        <v>5.4635294117647053</v>
      </c>
      <c r="AE33" s="35">
        <f t="shared" ref="AE33" si="56">IF(AE32=0,0,IFERROR((((AE32)/(AVERAGE(AF29:AG29)))*4.3),"∞"))</f>
        <v>6.0705882352941174</v>
      </c>
      <c r="AF33" s="35">
        <f t="shared" ref="AF33" si="57">IF(AF32=0,0,IFERROR((((AF32)/(AVERAGE(AG29:AH29)))*4.3),"∞"))</f>
        <v>7.0261437908496731</v>
      </c>
      <c r="AG33" s="35">
        <f t="shared" ref="AG33" si="58">IF(AG32=0,0,IFERROR((((AG32)/(AVERAGE(AH29:AI29)))*4.3),"∞"))</f>
        <v>7.9816993464052288</v>
      </c>
      <c r="AH33" s="35">
        <f t="shared" ref="AH33" si="59">IF(AH32=0,0,IFERROR((((AH32)/(AVERAGE(AI29:AJ29)))*4.3),"∞"))</f>
        <v>8.9372549019607845</v>
      </c>
      <c r="AI33" s="35">
        <f t="shared" ref="AI33" si="60">IF(AI32=0,0,IFERROR((((AI32)/(AVERAGE(AJ29:AK29)))*4.3),"∞"))</f>
        <v>9.8928104575163385</v>
      </c>
      <c r="AJ33" s="35">
        <f t="shared" ref="AJ33" si="61">IF(AJ32=0,0,IFERROR((((AJ32)/(AVERAGE(AK29:AL29)))*4.3),"∞"))</f>
        <v>10.848366013071894</v>
      </c>
      <c r="AK33" s="35">
        <f t="shared" ref="AK33" si="62">IF(AK32=0,0,IFERROR((((AK32)/(AVERAGE(AL29:AM29)))*4.3),"∞"))</f>
        <v>11.326143790849672</v>
      </c>
      <c r="AL33" s="35">
        <f t="shared" ref="AL33" si="63">IF(AL32=0,0,IFERROR((((AL32)/(AVERAGE(AM29:AN29)))*4.3),"∞"))</f>
        <v>15.176470588235293</v>
      </c>
      <c r="AM33" s="35">
        <f>IF(AM32=0,0,IFERROR((((AM32)/(AVERAGE(AN29,AP29)))*4.3),"∞"))</f>
        <v>22.107058823529414</v>
      </c>
      <c r="AN33" s="35" t="str">
        <f>IF(AN32=0,0,IFERROR((((AN32)/(AVERAGE(AP29:AQ29)))*4.3),"∞"))</f>
        <v>∞</v>
      </c>
      <c r="AO33" s="36"/>
    </row>
    <row r="34" spans="1:41" s="23" customFormat="1" ht="15" thickBot="1" x14ac:dyDescent="0.4">
      <c r="A34" s="22"/>
      <c r="C34" s="74"/>
      <c r="D34" s="74"/>
      <c r="E34" s="74"/>
      <c r="F34" s="74"/>
      <c r="G34" s="74"/>
      <c r="H34" s="74"/>
      <c r="I34" s="74"/>
      <c r="J34" s="74"/>
      <c r="K34" s="24"/>
      <c r="L34" s="24"/>
      <c r="M34" s="24"/>
      <c r="N34" s="24"/>
      <c r="O34" s="25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7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74"/>
    </row>
    <row r="35" spans="1:41" ht="14.5" customHeight="1" x14ac:dyDescent="0.35">
      <c r="A35" s="162" t="str">
        <f>'IMS vs FRCST'!B7</f>
        <v>Al Fakher Two apple 1kg</v>
      </c>
      <c r="B35" s="21" t="s">
        <v>53</v>
      </c>
      <c r="C35" s="70">
        <v>0</v>
      </c>
      <c r="D35" s="70">
        <f>C40</f>
        <v>550</v>
      </c>
      <c r="E35" s="70">
        <f t="shared" ref="E35:N35" si="64">D40</f>
        <v>1657</v>
      </c>
      <c r="F35" s="70">
        <f t="shared" si="64"/>
        <v>2282</v>
      </c>
      <c r="G35" s="70">
        <f t="shared" si="64"/>
        <v>181</v>
      </c>
      <c r="H35" s="70">
        <f t="shared" si="64"/>
        <v>181</v>
      </c>
      <c r="I35" s="70">
        <f t="shared" si="64"/>
        <v>2311</v>
      </c>
      <c r="J35" s="70">
        <f t="shared" si="64"/>
        <v>2000</v>
      </c>
      <c r="K35" s="32">
        <f t="shared" si="64"/>
        <v>1904</v>
      </c>
      <c r="L35" s="32">
        <f t="shared" si="64"/>
        <v>147</v>
      </c>
      <c r="M35" s="32">
        <f t="shared" si="64"/>
        <v>172</v>
      </c>
      <c r="N35" s="32">
        <f t="shared" si="64"/>
        <v>5019</v>
      </c>
      <c r="O35" s="33"/>
      <c r="P35" s="32">
        <f>N40</f>
        <v>2714</v>
      </c>
      <c r="Q35" s="32">
        <f>P40</f>
        <v>3500</v>
      </c>
      <c r="R35" s="32">
        <f t="shared" ref="R35:AA35" si="65">Q40</f>
        <v>45</v>
      </c>
      <c r="S35" s="32">
        <f t="shared" si="65"/>
        <v>1653</v>
      </c>
      <c r="T35" s="32">
        <f t="shared" si="65"/>
        <v>-529</v>
      </c>
      <c r="U35" s="32">
        <f t="shared" si="65"/>
        <v>171</v>
      </c>
      <c r="V35" s="32">
        <f t="shared" si="65"/>
        <v>1671</v>
      </c>
      <c r="W35" s="32">
        <f t="shared" si="65"/>
        <v>1171</v>
      </c>
      <c r="X35" s="32">
        <f t="shared" si="65"/>
        <v>1171</v>
      </c>
      <c r="Y35" s="32">
        <f t="shared" si="65"/>
        <v>1171</v>
      </c>
      <c r="Z35" s="32">
        <f t="shared" si="65"/>
        <v>2171</v>
      </c>
      <c r="AA35" s="32">
        <f t="shared" si="65"/>
        <v>2671</v>
      </c>
      <c r="AB35" s="33"/>
      <c r="AC35" s="32">
        <f>AA40</f>
        <v>5671</v>
      </c>
      <c r="AD35" s="32">
        <f>AC40</f>
        <v>5671</v>
      </c>
      <c r="AE35" s="32">
        <f t="shared" ref="AE35:AN35" si="66">AD40</f>
        <v>5671</v>
      </c>
      <c r="AF35" s="32">
        <f t="shared" si="66"/>
        <v>5671</v>
      </c>
      <c r="AG35" s="32">
        <f t="shared" si="66"/>
        <v>4651</v>
      </c>
      <c r="AH35" s="32">
        <f t="shared" si="66"/>
        <v>3631</v>
      </c>
      <c r="AI35" s="32">
        <f t="shared" si="66"/>
        <v>2611</v>
      </c>
      <c r="AJ35" s="32">
        <f t="shared" si="66"/>
        <v>1081</v>
      </c>
      <c r="AK35" s="32">
        <f t="shared" si="66"/>
        <v>61</v>
      </c>
      <c r="AL35" s="32">
        <f t="shared" si="66"/>
        <v>-1979</v>
      </c>
      <c r="AM35" s="32">
        <f t="shared" si="66"/>
        <v>-2999</v>
      </c>
      <c r="AN35" s="32">
        <f t="shared" si="66"/>
        <v>-4019</v>
      </c>
      <c r="AO35" s="33"/>
    </row>
    <row r="36" spans="1:41" x14ac:dyDescent="0.35">
      <c r="A36" s="163"/>
      <c r="B36" s="4" t="s">
        <v>54</v>
      </c>
      <c r="C36" s="71"/>
      <c r="D36" s="71"/>
      <c r="E36" s="71"/>
      <c r="F36" s="71"/>
      <c r="G36" s="71"/>
      <c r="H36" s="71"/>
      <c r="I36" s="71"/>
      <c r="J36" s="71"/>
      <c r="K36" s="27"/>
      <c r="L36" s="27"/>
      <c r="M36" s="27"/>
      <c r="N36" s="27"/>
      <c r="O36" s="26"/>
      <c r="P36" s="27">
        <v>-15</v>
      </c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6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6"/>
    </row>
    <row r="37" spans="1:41" s="6" customFormat="1" x14ac:dyDescent="0.35">
      <c r="A37" s="163"/>
      <c r="B37" s="42" t="s">
        <v>55</v>
      </c>
      <c r="C37" s="44">
        <f>'IMS vs FRCST'!C7</f>
        <v>0</v>
      </c>
      <c r="D37" s="44">
        <f>'IMS vs FRCST'!D7</f>
        <v>5157</v>
      </c>
      <c r="E37" s="44">
        <f>'IMS vs FRCST'!E7</f>
        <v>4029</v>
      </c>
      <c r="F37" s="44">
        <f>'IMS vs FRCST'!F7</f>
        <v>7101</v>
      </c>
      <c r="G37" s="44">
        <f>'IMS vs FRCST'!G7</f>
        <v>0</v>
      </c>
      <c r="H37" s="44">
        <f>'IMS vs FRCST'!H7</f>
        <v>870</v>
      </c>
      <c r="I37" s="44">
        <f>'IMS vs FRCST'!I7</f>
        <v>2311</v>
      </c>
      <c r="J37" s="44">
        <f>'IMS vs FRCST'!J7</f>
        <v>5000</v>
      </c>
      <c r="K37" s="43">
        <f>'IMS vs FRCST'!K7</f>
        <v>3353</v>
      </c>
      <c r="L37" s="43">
        <f>'IMS vs FRCST'!L7</f>
        <v>9975</v>
      </c>
      <c r="M37" s="43">
        <f>'IMS vs FRCST'!M7</f>
        <v>1155</v>
      </c>
      <c r="N37" s="43">
        <f>'IMS vs FRCST'!N7</f>
        <v>4888</v>
      </c>
      <c r="O37" s="26">
        <f>SUM(C37:N37)</f>
        <v>43839</v>
      </c>
      <c r="P37" s="28">
        <f>'IMS vs FRCST'!P7</f>
        <v>2699</v>
      </c>
      <c r="Q37" s="28">
        <f>'IMS vs FRCST'!Q7</f>
        <v>3455</v>
      </c>
      <c r="R37" s="28">
        <f>'IMS vs FRCST'!R7</f>
        <v>5574</v>
      </c>
      <c r="S37" s="28">
        <f>'IMS vs FRCST'!S7</f>
        <v>5000</v>
      </c>
      <c r="T37" s="28">
        <f>'IMS vs FRCST'!T7</f>
        <v>5000</v>
      </c>
      <c r="U37" s="28">
        <f>'IMS vs FRCST'!U7</f>
        <v>5000</v>
      </c>
      <c r="V37" s="28">
        <f>'IMS vs FRCST'!V7</f>
        <v>5500</v>
      </c>
      <c r="W37" s="28">
        <f>'IMS vs FRCST'!W7</f>
        <v>5000</v>
      </c>
      <c r="X37" s="28">
        <f>'IMS vs FRCST'!X7</f>
        <v>5000</v>
      </c>
      <c r="Y37" s="28">
        <f>'IMS vs FRCST'!Y7</f>
        <v>4000</v>
      </c>
      <c r="Z37" s="28">
        <f>'IMS vs FRCST'!Z7</f>
        <v>4000</v>
      </c>
      <c r="AA37" s="28">
        <f>'IMS vs FRCST'!AA7</f>
        <v>3000</v>
      </c>
      <c r="AB37" s="26">
        <f>SUM(P37:AA37)</f>
        <v>53228</v>
      </c>
      <c r="AC37" s="28">
        <f>'IMS vs FRCST'!AC7</f>
        <v>4000</v>
      </c>
      <c r="AD37" s="28">
        <f>'IMS vs FRCST'!AD7</f>
        <v>4000</v>
      </c>
      <c r="AE37" s="28">
        <f>'IMS vs FRCST'!AE7</f>
        <v>3570</v>
      </c>
      <c r="AF37" s="28">
        <f>'IMS vs FRCST'!AF7</f>
        <v>5100</v>
      </c>
      <c r="AG37" s="28">
        <f>'IMS vs FRCST'!AG7</f>
        <v>5100</v>
      </c>
      <c r="AH37" s="28">
        <f>'IMS vs FRCST'!AH7</f>
        <v>5100</v>
      </c>
      <c r="AI37" s="28">
        <f>'IMS vs FRCST'!AI7</f>
        <v>5610</v>
      </c>
      <c r="AJ37" s="28">
        <f>'IMS vs FRCST'!AJ7</f>
        <v>5100</v>
      </c>
      <c r="AK37" s="28">
        <f>'IMS vs FRCST'!AK7</f>
        <v>5100</v>
      </c>
      <c r="AL37" s="28">
        <f>'IMS vs FRCST'!AL7</f>
        <v>4080</v>
      </c>
      <c r="AM37" s="28">
        <f>'IMS vs FRCST'!AM7</f>
        <v>4080</v>
      </c>
      <c r="AN37" s="28">
        <f>'IMS vs FRCST'!AN7</f>
        <v>3060</v>
      </c>
      <c r="AO37" s="26">
        <f>SUM(AC37:AN37)</f>
        <v>53900</v>
      </c>
    </row>
    <row r="38" spans="1:41" x14ac:dyDescent="0.35">
      <c r="A38" s="163"/>
      <c r="B38" s="4" t="s">
        <v>56</v>
      </c>
      <c r="C38" s="71">
        <f>'Shipment (Production)'!G8</f>
        <v>550</v>
      </c>
      <c r="D38" s="71">
        <f>'Shipment (Production)'!L8</f>
        <v>6264</v>
      </c>
      <c r="E38" s="71">
        <f>'Shipment (Production)'!Q8</f>
        <v>9654</v>
      </c>
      <c r="F38" s="71">
        <f>'Shipment (Production)'!V8</f>
        <v>0</v>
      </c>
      <c r="G38" s="71">
        <f>'Shipment (Production)'!AA8</f>
        <v>0</v>
      </c>
      <c r="H38" s="71">
        <f>'Shipment (Production)'!AF8</f>
        <v>3000</v>
      </c>
      <c r="I38" s="71">
        <f>'Shipment (Production)'!AK8</f>
        <v>5000</v>
      </c>
      <c r="J38" s="71">
        <f>'Shipment (Production)'!AP8</f>
        <v>3500</v>
      </c>
      <c r="K38" s="27">
        <f>'Shipment (Production)'!AU8</f>
        <v>5264</v>
      </c>
      <c r="L38" s="27">
        <f>'Shipment (Production)'!AZ8</f>
        <v>5938</v>
      </c>
      <c r="M38" s="27">
        <f>'Shipment (Production)'!BE8</f>
        <v>4800</v>
      </c>
      <c r="N38" s="27">
        <f>'Shipment (Production)'!BJ8</f>
        <v>2583</v>
      </c>
      <c r="O38" s="26">
        <f>SUM(C38:N38)</f>
        <v>46553</v>
      </c>
      <c r="P38" s="27">
        <f>'Shipment (Production)'!BP8</f>
        <v>3500</v>
      </c>
      <c r="Q38" s="27">
        <f>'Shipment (Production)'!BU8</f>
        <v>7182</v>
      </c>
      <c r="R38" s="27">
        <f>'Shipment (Production)'!BZ8</f>
        <v>2818</v>
      </c>
      <c r="S38" s="27">
        <f>'Shipment (Production)'!CE8</f>
        <v>5700</v>
      </c>
      <c r="T38" s="27">
        <f>'Shipment (Production)'!CJ8</f>
        <v>6500</v>
      </c>
      <c r="U38" s="27">
        <f>'Shipment (Production)'!CO8</f>
        <v>5000</v>
      </c>
      <c r="V38" s="27">
        <f>'Shipment (Production)'!CT8</f>
        <v>5000</v>
      </c>
      <c r="W38" s="27">
        <f>'Shipment (Production)'!CY8</f>
        <v>5000</v>
      </c>
      <c r="X38" s="27">
        <f>'Shipment (Production)'!DD8</f>
        <v>5000</v>
      </c>
      <c r="Y38" s="27">
        <f>'Shipment (Production)'!DI8</f>
        <v>4500</v>
      </c>
      <c r="Z38" s="27">
        <f>'Shipment (Production)'!DN8</f>
        <v>3500</v>
      </c>
      <c r="AA38" s="27">
        <f>'Shipment (Production)'!DS8</f>
        <v>2500</v>
      </c>
      <c r="AB38" s="26">
        <f>SUM(P38:AA38)</f>
        <v>56200</v>
      </c>
      <c r="AC38" s="27">
        <f>'Shipment (Production)'!DY8</f>
        <v>4000</v>
      </c>
      <c r="AD38" s="27">
        <f>'Shipment (Production)'!DZ8</f>
        <v>4000</v>
      </c>
      <c r="AE38" s="27">
        <f>'Shipment (Production)'!EI8</f>
        <v>3570</v>
      </c>
      <c r="AF38" s="27">
        <f>'Shipment (Production)'!EN8</f>
        <v>4080</v>
      </c>
      <c r="AG38" s="27">
        <f>'Shipment (Production)'!ES8</f>
        <v>4080</v>
      </c>
      <c r="AH38" s="27">
        <f>'Shipment (Production)'!EX8</f>
        <v>4080</v>
      </c>
      <c r="AI38" s="27">
        <f>'Shipment (Production)'!FC8</f>
        <v>4080</v>
      </c>
      <c r="AJ38" s="27">
        <f>'Shipment (Production)'!FH8</f>
        <v>4080</v>
      </c>
      <c r="AK38" s="27">
        <f>'Shipment (Production)'!FM8</f>
        <v>3060</v>
      </c>
      <c r="AL38" s="27">
        <f>'Shipment (Production)'!FR8</f>
        <v>3060</v>
      </c>
      <c r="AM38" s="27">
        <f>'Shipment (Production)'!FW8</f>
        <v>3060</v>
      </c>
      <c r="AN38" s="27">
        <f>'Shipment (Production)'!GB8</f>
        <v>3060</v>
      </c>
      <c r="AO38" s="26">
        <f>SUM(AC38:AN38)</f>
        <v>44210</v>
      </c>
    </row>
    <row r="39" spans="1:41" x14ac:dyDescent="0.35">
      <c r="A39" s="163"/>
      <c r="B39" s="4" t="s">
        <v>57</v>
      </c>
      <c r="C39" s="71">
        <f>'Arrival to Regie'!G8</f>
        <v>550</v>
      </c>
      <c r="D39" s="71">
        <f>'Arrival to Regie'!L8</f>
        <v>6264</v>
      </c>
      <c r="E39" s="71">
        <f>'Arrival to Regie'!Q8</f>
        <v>4654</v>
      </c>
      <c r="F39" s="71">
        <f>'Arrival to Regie'!V8</f>
        <v>5000</v>
      </c>
      <c r="G39" s="71">
        <f>'Arrival to Regie'!AA8</f>
        <v>0</v>
      </c>
      <c r="H39" s="71">
        <f>'Arrival to Regie'!AF8</f>
        <v>3000</v>
      </c>
      <c r="I39" s="71">
        <f>'Arrival to Regie'!AK8</f>
        <v>2000</v>
      </c>
      <c r="J39" s="71">
        <f>'Arrival to Regie'!AP8</f>
        <v>4904</v>
      </c>
      <c r="K39" s="27">
        <f>'Arrival to Regie'!AU8</f>
        <v>1596</v>
      </c>
      <c r="L39" s="27">
        <f>'Arrival to Regie'!AZ8</f>
        <v>10000</v>
      </c>
      <c r="M39" s="27">
        <f>'Arrival to Regie'!BE8</f>
        <v>6002</v>
      </c>
      <c r="N39" s="27">
        <f>'Arrival to Regie'!BJ8</f>
        <v>2583</v>
      </c>
      <c r="O39" s="26">
        <f>SUM(C39:N39)</f>
        <v>46553</v>
      </c>
      <c r="P39" s="27">
        <f>'Arrival to Regie'!BP8</f>
        <v>3500</v>
      </c>
      <c r="Q39" s="27">
        <f>'Arrival to Regie'!BU8</f>
        <v>0</v>
      </c>
      <c r="R39" s="27">
        <f>'Arrival to Regie'!BZ8</f>
        <v>7182</v>
      </c>
      <c r="S39" s="27">
        <f>'Arrival to Regie'!CE8</f>
        <v>2818</v>
      </c>
      <c r="T39" s="27">
        <f>'Arrival to Regie'!CJ8</f>
        <v>5700</v>
      </c>
      <c r="U39" s="27">
        <f>'Arrival to Regie'!CO8</f>
        <v>6500</v>
      </c>
      <c r="V39" s="27">
        <f>'Arrival to Regie'!CT8</f>
        <v>5000</v>
      </c>
      <c r="W39" s="27">
        <f>'Arrival to Regie'!CY8</f>
        <v>5000</v>
      </c>
      <c r="X39" s="27">
        <f>'Arrival to Regie'!DD8</f>
        <v>5000</v>
      </c>
      <c r="Y39" s="27">
        <f>'Arrival to Regie'!DI8</f>
        <v>5000</v>
      </c>
      <c r="Z39" s="27">
        <f>'Arrival to Regie'!DN8</f>
        <v>4500</v>
      </c>
      <c r="AA39" s="27">
        <f>'Arrival to Regie'!DS8</f>
        <v>6000</v>
      </c>
      <c r="AB39" s="26">
        <f>SUM(P39:AA39)</f>
        <v>56200</v>
      </c>
      <c r="AC39" s="27">
        <f>'Arrival to Regie'!DY8</f>
        <v>4000</v>
      </c>
      <c r="AD39" s="27">
        <f>'Arrival to Regie'!ED8</f>
        <v>4000</v>
      </c>
      <c r="AE39" s="27">
        <f>'Arrival to Regie'!EI8</f>
        <v>3570</v>
      </c>
      <c r="AF39" s="27">
        <f>'Arrival to Regie'!EN8</f>
        <v>4080</v>
      </c>
      <c r="AG39" s="27">
        <f>'Arrival to Regie'!ES8</f>
        <v>4080</v>
      </c>
      <c r="AH39" s="27">
        <f>'Arrival to Regie'!EX8</f>
        <v>4080</v>
      </c>
      <c r="AI39" s="27">
        <f>'Arrival to Regie'!FC8</f>
        <v>4080</v>
      </c>
      <c r="AJ39" s="27">
        <f>'Arrival to Regie'!FH8</f>
        <v>4080</v>
      </c>
      <c r="AK39" s="27">
        <f>'Arrival to Regie'!FM8</f>
        <v>3060</v>
      </c>
      <c r="AL39" s="27">
        <f>'Arrival to Regie'!FR8</f>
        <v>3060</v>
      </c>
      <c r="AM39" s="27">
        <f>'Arrival to Regie'!FW8</f>
        <v>3060</v>
      </c>
      <c r="AN39" s="27">
        <f>'Arrival to Regie'!GB8</f>
        <v>3060</v>
      </c>
      <c r="AO39" s="26">
        <f>SUM(AC39:AN39)</f>
        <v>44210</v>
      </c>
    </row>
    <row r="40" spans="1:41" x14ac:dyDescent="0.35">
      <c r="A40" s="163"/>
      <c r="B40" s="47" t="s">
        <v>58</v>
      </c>
      <c r="C40" s="72">
        <f t="shared" ref="C40:AA40" si="67">C35+C36+C39-C37</f>
        <v>550</v>
      </c>
      <c r="D40" s="72">
        <f t="shared" si="67"/>
        <v>1657</v>
      </c>
      <c r="E40" s="72">
        <f t="shared" si="67"/>
        <v>2282</v>
      </c>
      <c r="F40" s="72">
        <f t="shared" si="67"/>
        <v>181</v>
      </c>
      <c r="G40" s="72">
        <f t="shared" si="67"/>
        <v>181</v>
      </c>
      <c r="H40" s="72">
        <f t="shared" si="67"/>
        <v>2311</v>
      </c>
      <c r="I40" s="72">
        <f t="shared" si="67"/>
        <v>2000</v>
      </c>
      <c r="J40" s="72">
        <f t="shared" si="67"/>
        <v>1904</v>
      </c>
      <c r="K40" s="48">
        <f t="shared" si="67"/>
        <v>147</v>
      </c>
      <c r="L40" s="48">
        <f t="shared" si="67"/>
        <v>172</v>
      </c>
      <c r="M40" s="48">
        <f t="shared" si="67"/>
        <v>5019</v>
      </c>
      <c r="N40" s="48">
        <f t="shared" si="67"/>
        <v>2714</v>
      </c>
      <c r="O40" s="26"/>
      <c r="P40" s="48">
        <f t="shared" si="67"/>
        <v>3500</v>
      </c>
      <c r="Q40" s="48">
        <f t="shared" si="67"/>
        <v>45</v>
      </c>
      <c r="R40" s="48">
        <f t="shared" si="67"/>
        <v>1653</v>
      </c>
      <c r="S40" s="48">
        <f t="shared" si="67"/>
        <v>-529</v>
      </c>
      <c r="T40" s="48">
        <f t="shared" si="67"/>
        <v>171</v>
      </c>
      <c r="U40" s="48">
        <f t="shared" si="67"/>
        <v>1671</v>
      </c>
      <c r="V40" s="48">
        <f t="shared" si="67"/>
        <v>1171</v>
      </c>
      <c r="W40" s="48">
        <f t="shared" si="67"/>
        <v>1171</v>
      </c>
      <c r="X40" s="48">
        <f t="shared" si="67"/>
        <v>1171</v>
      </c>
      <c r="Y40" s="48">
        <f t="shared" si="67"/>
        <v>2171</v>
      </c>
      <c r="Z40" s="48">
        <f t="shared" si="67"/>
        <v>2671</v>
      </c>
      <c r="AA40" s="48">
        <f t="shared" si="67"/>
        <v>5671</v>
      </c>
      <c r="AB40" s="26"/>
      <c r="AC40" s="48">
        <f t="shared" ref="AC40:AN40" si="68">AC35+AC36+AC39-AC37</f>
        <v>5671</v>
      </c>
      <c r="AD40" s="48">
        <f t="shared" si="68"/>
        <v>5671</v>
      </c>
      <c r="AE40" s="48">
        <f t="shared" si="68"/>
        <v>5671</v>
      </c>
      <c r="AF40" s="48">
        <f t="shared" si="68"/>
        <v>4651</v>
      </c>
      <c r="AG40" s="48">
        <f t="shared" si="68"/>
        <v>3631</v>
      </c>
      <c r="AH40" s="48">
        <f t="shared" si="68"/>
        <v>2611</v>
      </c>
      <c r="AI40" s="48">
        <f t="shared" si="68"/>
        <v>1081</v>
      </c>
      <c r="AJ40" s="48">
        <f t="shared" si="68"/>
        <v>61</v>
      </c>
      <c r="AK40" s="48">
        <f t="shared" si="68"/>
        <v>-1979</v>
      </c>
      <c r="AL40" s="48">
        <f t="shared" si="68"/>
        <v>-2999</v>
      </c>
      <c r="AM40" s="48">
        <f t="shared" si="68"/>
        <v>-4019</v>
      </c>
      <c r="AN40" s="48">
        <f t="shared" si="68"/>
        <v>-4019</v>
      </c>
      <c r="AO40" s="26"/>
    </row>
    <row r="41" spans="1:41" ht="15" thickBot="1" x14ac:dyDescent="0.4">
      <c r="A41" s="164"/>
      <c r="B41" s="34" t="s">
        <v>59</v>
      </c>
      <c r="C41" s="35">
        <f>IF(C40=0,0,IFERROR((((C40)/(AVERAGE(D37:E37)))*4.3),"∞"))</f>
        <v>0.51491399956455475</v>
      </c>
      <c r="D41" s="35">
        <f t="shared" ref="D41:L41" si="69">IF(D40=0,0,IFERROR((((D40)/(AVERAGE(E37:F37)))*4.3),"∞"))</f>
        <v>1.2803414195867027</v>
      </c>
      <c r="E41" s="35">
        <f t="shared" si="69"/>
        <v>2.7637234192367273</v>
      </c>
      <c r="F41" s="35">
        <f t="shared" si="69"/>
        <v>1.7891954022988503</v>
      </c>
      <c r="G41" s="35">
        <f t="shared" si="69"/>
        <v>0.48934297390757625</v>
      </c>
      <c r="H41" s="35">
        <f t="shared" si="69"/>
        <v>2.7184516482013401</v>
      </c>
      <c r="I41" s="35">
        <f t="shared" si="69"/>
        <v>2.0591404285885311</v>
      </c>
      <c r="J41" s="35">
        <f t="shared" si="69"/>
        <v>1.2285714285714284</v>
      </c>
      <c r="K41" s="35">
        <f t="shared" si="69"/>
        <v>0.11358490566037736</v>
      </c>
      <c r="L41" s="35">
        <f t="shared" si="69"/>
        <v>0.24477908323680289</v>
      </c>
      <c r="M41" s="35">
        <f>IF(M40=0,0,IFERROR((((M40)/(AVERAGE(N37,P37)))*4.3),"∞"))</f>
        <v>5.6891261368129697</v>
      </c>
      <c r="N41" s="35">
        <f>IF(N40=0,0,IFERROR((((N40)/(AVERAGE(P37:Q37)))*4.3),"∞"))</f>
        <v>3.7927201819954499</v>
      </c>
      <c r="O41" s="36"/>
      <c r="P41" s="35">
        <f>IF(P40=0,0,IFERROR((((P40)/(AVERAGE(Q37:R37)))*4.3),"∞"))</f>
        <v>3.3337025141211649</v>
      </c>
      <c r="Q41" s="35">
        <f t="shared" ref="Q41:Y41" si="70">IF(Q40=0,0,IFERROR((((Q40)/(AVERAGE(R37:S37)))*4.3),"∞"))</f>
        <v>3.659920559863817E-2</v>
      </c>
      <c r="R41" s="35">
        <f t="shared" si="70"/>
        <v>1.4215800000000001</v>
      </c>
      <c r="S41" s="35">
        <f t="shared" si="70"/>
        <v>-0.45494000000000001</v>
      </c>
      <c r="T41" s="35">
        <f t="shared" si="70"/>
        <v>0.14005714285714285</v>
      </c>
      <c r="U41" s="35">
        <f t="shared" si="70"/>
        <v>1.3686285714285713</v>
      </c>
      <c r="V41" s="35">
        <f t="shared" si="70"/>
        <v>1.0070599999999998</v>
      </c>
      <c r="W41" s="35">
        <f t="shared" si="70"/>
        <v>1.1189555555555557</v>
      </c>
      <c r="X41" s="35">
        <f t="shared" si="70"/>
        <v>1.2588250000000001</v>
      </c>
      <c r="Y41" s="35">
        <f t="shared" si="70"/>
        <v>2.6672285714285717</v>
      </c>
      <c r="Z41" s="35">
        <f>IF(Z40=0,0,IFERROR((((Z40)/(AVERAGE(AA37,AC37)))*4.3),"∞"))</f>
        <v>3.2815142857142856</v>
      </c>
      <c r="AA41" s="35">
        <f>IF(AA40=0,0,IFERROR((((AA40)/(AVERAGE(AC37:AD37)))*4.3),"∞"))</f>
        <v>6.0963250000000002</v>
      </c>
      <c r="AB41" s="36"/>
      <c r="AC41" s="35">
        <f>IF(AC40=0,0,IFERROR((((AC40)/(AVERAGE(AD37:AE37)))*4.3),"∞"))</f>
        <v>6.4426155878467632</v>
      </c>
      <c r="AD41" s="35">
        <f t="shared" ref="AD41" si="71">IF(AD40=0,0,IFERROR((((AD40)/(AVERAGE(AE37:AF37)))*4.3),"∞"))</f>
        <v>5.6252133794694341</v>
      </c>
      <c r="AE41" s="35">
        <f t="shared" ref="AE41" si="72">IF(AE40=0,0,IFERROR((((AE40)/(AVERAGE(AF37:AG37)))*4.3),"∞"))</f>
        <v>4.7814313725490196</v>
      </c>
      <c r="AF41" s="35">
        <f t="shared" ref="AF41" si="73">IF(AF40=0,0,IFERROR((((AF40)/(AVERAGE(AG37:AH37)))*4.3),"∞"))</f>
        <v>3.9214313725490197</v>
      </c>
      <c r="AG41" s="35">
        <f t="shared" ref="AG41" si="74">IF(AG40=0,0,IFERROR((((AG40)/(AVERAGE(AH37:AI37)))*4.3),"∞"))</f>
        <v>2.9156489262371617</v>
      </c>
      <c r="AH41" s="35">
        <f t="shared" ref="AH41" si="75">IF(AH40=0,0,IFERROR((((AH40)/(AVERAGE(AI37:AJ37)))*4.3),"∞"))</f>
        <v>2.0966013071895424</v>
      </c>
      <c r="AI41" s="35">
        <f t="shared" ref="AI41" si="76">IF(AI40=0,0,IFERROR((((AI40)/(AVERAGE(AJ37:AK37)))*4.3),"∞"))</f>
        <v>0.91143137254901962</v>
      </c>
      <c r="AJ41" s="35">
        <f t="shared" ref="AJ41" si="77">IF(AJ40=0,0,IFERROR((((AJ40)/(AVERAGE(AK37:AL37)))*4.3),"∞"))</f>
        <v>5.7145969498910675E-2</v>
      </c>
      <c r="AK41" s="35">
        <f t="shared" ref="AK41" si="78">IF(AK40=0,0,IFERROR((((AK40)/(AVERAGE(AL37:AM37)))*4.3),"∞"))</f>
        <v>-2.0857107843137253</v>
      </c>
      <c r="AL41" s="35">
        <f t="shared" ref="AL41" si="79">IF(AL40=0,0,IFERROR((((AL40)/(AVERAGE(AM37:AN37)))*4.3),"∞"))</f>
        <v>-3.6122408963585433</v>
      </c>
      <c r="AM41" s="35">
        <f>IF(AM40=0,0,IFERROR((((AM40)/(AVERAGE(AN37,AP37)))*4.3),"∞"))</f>
        <v>-5.6476143790849669</v>
      </c>
      <c r="AN41" s="35" t="str">
        <f>IF(AN40=0,0,IFERROR((((AN40)/(AVERAGE(AP37:AQ37)))*4.3),"∞"))</f>
        <v>∞</v>
      </c>
      <c r="AO41" s="36"/>
    </row>
    <row r="42" spans="1:41" s="23" customFormat="1" x14ac:dyDescent="0.35">
      <c r="A42" s="22"/>
      <c r="C42" s="74"/>
      <c r="D42" s="74"/>
      <c r="E42" s="74"/>
      <c r="F42" s="74"/>
      <c r="G42" s="74"/>
      <c r="H42" s="74"/>
      <c r="I42" s="74"/>
      <c r="J42" s="74"/>
      <c r="K42" s="24"/>
      <c r="L42" s="24"/>
      <c r="M42" s="24"/>
      <c r="N42" s="24"/>
      <c r="O42" s="25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7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74"/>
    </row>
  </sheetData>
  <mergeCells count="5">
    <mergeCell ref="A3:A9"/>
    <mergeCell ref="A11:A17"/>
    <mergeCell ref="A19:A25"/>
    <mergeCell ref="A27:A33"/>
    <mergeCell ref="A35:A41"/>
  </mergeCells>
  <conditionalFormatting sqref="C9:N9">
    <cfRule type="cellIs" dxfId="74" priority="105" operator="greaterThan">
      <formula>6</formula>
    </cfRule>
    <cfRule type="cellIs" dxfId="73" priority="104" operator="lessThan">
      <formula>4</formula>
    </cfRule>
    <cfRule type="cellIs" dxfId="72" priority="103" operator="between">
      <formula>4</formula>
      <formula>6</formula>
    </cfRule>
    <cfRule type="cellIs" dxfId="71" priority="102" operator="lessThan">
      <formula>0</formula>
    </cfRule>
    <cfRule type="cellIs" dxfId="70" priority="101" operator="equal">
      <formula>0</formula>
    </cfRule>
  </conditionalFormatting>
  <conditionalFormatting sqref="C17:N17">
    <cfRule type="cellIs" dxfId="69" priority="100" operator="greaterThan">
      <formula>6</formula>
    </cfRule>
    <cfRule type="cellIs" dxfId="68" priority="99" operator="lessThan">
      <formula>4</formula>
    </cfRule>
    <cfRule type="cellIs" dxfId="67" priority="98" operator="between">
      <formula>4</formula>
      <formula>6</formula>
    </cfRule>
    <cfRule type="cellIs" dxfId="66" priority="96" operator="equal">
      <formula>0</formula>
    </cfRule>
    <cfRule type="cellIs" dxfId="65" priority="97" operator="lessThan">
      <formula>0</formula>
    </cfRule>
  </conditionalFormatting>
  <conditionalFormatting sqref="C25:N25">
    <cfRule type="cellIs" dxfId="64" priority="95" operator="greaterThan">
      <formula>6</formula>
    </cfRule>
    <cfRule type="cellIs" dxfId="63" priority="94" operator="lessThan">
      <formula>4</formula>
    </cfRule>
    <cfRule type="cellIs" dxfId="62" priority="93" operator="between">
      <formula>4</formula>
      <formula>6</formula>
    </cfRule>
    <cfRule type="cellIs" dxfId="61" priority="92" operator="lessThan">
      <formula>0</formula>
    </cfRule>
    <cfRule type="cellIs" dxfId="60" priority="91" operator="equal">
      <formula>0</formula>
    </cfRule>
  </conditionalFormatting>
  <conditionalFormatting sqref="C33:N33">
    <cfRule type="cellIs" dxfId="59" priority="86" operator="equal">
      <formula>0</formula>
    </cfRule>
    <cfRule type="cellIs" dxfId="58" priority="87" operator="lessThan">
      <formula>0</formula>
    </cfRule>
    <cfRule type="cellIs" dxfId="57" priority="88" operator="between">
      <formula>4</formula>
      <formula>6</formula>
    </cfRule>
    <cfRule type="cellIs" dxfId="56" priority="90" operator="greaterThan">
      <formula>6</formula>
    </cfRule>
    <cfRule type="cellIs" dxfId="55" priority="89" operator="lessThan">
      <formula>4</formula>
    </cfRule>
  </conditionalFormatting>
  <conditionalFormatting sqref="C41:N41">
    <cfRule type="cellIs" dxfId="54" priority="81" operator="equal">
      <formula>0</formula>
    </cfRule>
    <cfRule type="cellIs" dxfId="53" priority="82" operator="lessThan">
      <formula>0</formula>
    </cfRule>
    <cfRule type="cellIs" dxfId="52" priority="83" operator="between">
      <formula>4</formula>
      <formula>6</formula>
    </cfRule>
    <cfRule type="cellIs" dxfId="51" priority="84" operator="lessThan">
      <formula>4</formula>
    </cfRule>
    <cfRule type="cellIs" dxfId="50" priority="85" operator="greaterThan">
      <formula>6</formula>
    </cfRule>
  </conditionalFormatting>
  <conditionalFormatting sqref="P9:AA9">
    <cfRule type="cellIs" dxfId="49" priority="129" operator="lessThan">
      <formula>4</formula>
    </cfRule>
    <cfRule type="cellIs" dxfId="48" priority="128" operator="between">
      <formula>4</formula>
      <formula>6</formula>
    </cfRule>
    <cfRule type="cellIs" dxfId="47" priority="127" operator="lessThan">
      <formula>0</formula>
    </cfRule>
    <cfRule type="cellIs" dxfId="46" priority="126" operator="equal">
      <formula>0</formula>
    </cfRule>
    <cfRule type="cellIs" dxfId="45" priority="130" operator="greaterThan">
      <formula>6</formula>
    </cfRule>
  </conditionalFormatting>
  <conditionalFormatting sqref="P17:AA17">
    <cfRule type="cellIs" dxfId="44" priority="124" operator="lessThan">
      <formula>4</formula>
    </cfRule>
    <cfRule type="cellIs" dxfId="43" priority="125" operator="greaterThan">
      <formula>6</formula>
    </cfRule>
    <cfRule type="cellIs" dxfId="42" priority="121" operator="equal">
      <formula>0</formula>
    </cfRule>
    <cfRule type="cellIs" dxfId="41" priority="122" operator="lessThan">
      <formula>0</formula>
    </cfRule>
    <cfRule type="cellIs" dxfId="40" priority="123" operator="between">
      <formula>4</formula>
      <formula>6</formula>
    </cfRule>
  </conditionalFormatting>
  <conditionalFormatting sqref="P25:AA25">
    <cfRule type="cellIs" dxfId="39" priority="120" operator="greaterThan">
      <formula>6</formula>
    </cfRule>
    <cfRule type="cellIs" dxfId="38" priority="119" operator="lessThan">
      <formula>4</formula>
    </cfRule>
    <cfRule type="cellIs" dxfId="37" priority="118" operator="between">
      <formula>4</formula>
      <formula>6</formula>
    </cfRule>
    <cfRule type="cellIs" dxfId="36" priority="117" operator="lessThan">
      <formula>0</formula>
    </cfRule>
    <cfRule type="cellIs" dxfId="35" priority="116" operator="equal">
      <formula>0</formula>
    </cfRule>
  </conditionalFormatting>
  <conditionalFormatting sqref="P33:AA33">
    <cfRule type="cellIs" dxfId="34" priority="111" operator="equal">
      <formula>0</formula>
    </cfRule>
    <cfRule type="cellIs" dxfId="33" priority="114" operator="lessThan">
      <formula>4</formula>
    </cfRule>
    <cfRule type="cellIs" dxfId="32" priority="115" operator="greaterThan">
      <formula>6</formula>
    </cfRule>
    <cfRule type="cellIs" dxfId="31" priority="112" operator="lessThan">
      <formula>0</formula>
    </cfRule>
    <cfRule type="cellIs" dxfId="30" priority="113" operator="between">
      <formula>4</formula>
      <formula>6</formula>
    </cfRule>
  </conditionalFormatting>
  <conditionalFormatting sqref="P41:AA41">
    <cfRule type="cellIs" dxfId="29" priority="79" operator="lessThan">
      <formula>4</formula>
    </cfRule>
    <cfRule type="cellIs" dxfId="28" priority="80" operator="greaterThan">
      <formula>6</formula>
    </cfRule>
    <cfRule type="cellIs" dxfId="27" priority="78" operator="between">
      <formula>4</formula>
      <formula>6</formula>
    </cfRule>
    <cfRule type="cellIs" dxfId="26" priority="77" operator="lessThan">
      <formula>0</formula>
    </cfRule>
    <cfRule type="cellIs" dxfId="25" priority="76" operator="equal">
      <formula>0</formula>
    </cfRule>
  </conditionalFormatting>
  <conditionalFormatting sqref="AC9:AN9">
    <cfRule type="cellIs" dxfId="24" priority="25" operator="greaterThan">
      <formula>6</formula>
    </cfRule>
    <cfRule type="cellIs" dxfId="23" priority="24" operator="lessThan">
      <formula>4</formula>
    </cfRule>
    <cfRule type="cellIs" dxfId="22" priority="23" operator="between">
      <formula>4</formula>
      <formula>6</formula>
    </cfRule>
    <cfRule type="cellIs" dxfId="21" priority="22" operator="lessThan">
      <formula>0</formula>
    </cfRule>
    <cfRule type="cellIs" dxfId="20" priority="21" operator="equal">
      <formula>0</formula>
    </cfRule>
  </conditionalFormatting>
  <conditionalFormatting sqref="AC17:AN17">
    <cfRule type="cellIs" dxfId="19" priority="20" operator="greaterThan">
      <formula>6</formula>
    </cfRule>
    <cfRule type="cellIs" dxfId="18" priority="16" operator="equal">
      <formula>0</formula>
    </cfRule>
    <cfRule type="cellIs" dxfId="17" priority="17" operator="lessThan">
      <formula>0</formula>
    </cfRule>
    <cfRule type="cellIs" dxfId="16" priority="18" operator="between">
      <formula>4</formula>
      <formula>6</formula>
    </cfRule>
    <cfRule type="cellIs" dxfId="15" priority="19" operator="lessThan">
      <formula>4</formula>
    </cfRule>
  </conditionalFormatting>
  <conditionalFormatting sqref="AC25:AN25">
    <cfRule type="cellIs" dxfId="14" priority="13" operator="between">
      <formula>4</formula>
      <formula>6</formula>
    </cfRule>
    <cfRule type="cellIs" dxfId="13" priority="14" operator="lessThan">
      <formula>4</formula>
    </cfRule>
    <cfRule type="cellIs" dxfId="12" priority="15" operator="greaterThan">
      <formula>6</formula>
    </cfRule>
    <cfRule type="cellIs" dxfId="11" priority="12" operator="lessThan">
      <formula>0</formula>
    </cfRule>
    <cfRule type="cellIs" dxfId="10" priority="11" operator="equal">
      <formula>0</formula>
    </cfRule>
  </conditionalFormatting>
  <conditionalFormatting sqref="AC33:AN33">
    <cfRule type="cellIs" dxfId="9" priority="6" operator="equal">
      <formula>0</formula>
    </cfRule>
    <cfRule type="cellIs" dxfId="8" priority="7" operator="lessThan">
      <formula>0</formula>
    </cfRule>
    <cfRule type="cellIs" dxfId="7" priority="10" operator="greaterThan">
      <formula>6</formula>
    </cfRule>
    <cfRule type="cellIs" dxfId="6" priority="9" operator="lessThan">
      <formula>4</formula>
    </cfRule>
    <cfRule type="cellIs" dxfId="5" priority="8" operator="between">
      <formula>4</formula>
      <formula>6</formula>
    </cfRule>
  </conditionalFormatting>
  <conditionalFormatting sqref="AC41:AN41">
    <cfRule type="cellIs" dxfId="4" priority="2" operator="lessThan">
      <formula>0</formula>
    </cfRule>
    <cfRule type="cellIs" dxfId="3" priority="3" operator="between">
      <formula>4</formula>
      <formula>6</formula>
    </cfRule>
    <cfRule type="cellIs" dxfId="2" priority="4" operator="lessThan">
      <formula>4</formula>
    </cfRule>
    <cfRule type="cellIs" dxfId="1" priority="5" operator="greaterThan">
      <formula>6</formula>
    </cfRule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headerFooter>
    <oddFooter>&amp;L_x000D_&amp;1#&amp;"Aptos"&amp;10&amp;K000000 Confidential External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0762-C977-4731-A1EE-1255E201E23E}">
  <sheetPr codeName="Sheet10">
    <tabColor theme="8" tint="0.59999389629810485"/>
  </sheetPr>
  <dimension ref="A1:AC9"/>
  <sheetViews>
    <sheetView zoomScaleNormal="100" workbookViewId="0">
      <selection activeCell="F21" sqref="F21"/>
    </sheetView>
  </sheetViews>
  <sheetFormatPr defaultColWidth="8.81640625" defaultRowHeight="14.5" x14ac:dyDescent="0.35"/>
  <cols>
    <col min="1" max="1" width="16" style="1" bestFit="1" customWidth="1"/>
    <col min="2" max="5" width="10.453125" style="1" bestFit="1" customWidth="1"/>
    <col min="6" max="6" width="11.54296875" style="1" bestFit="1" customWidth="1"/>
    <col min="7" max="13" width="10.453125" style="1" bestFit="1" customWidth="1"/>
    <col min="14" max="14" width="11.453125" style="2" bestFit="1" customWidth="1"/>
    <col min="15" max="26" width="10.453125" style="1" bestFit="1" customWidth="1"/>
    <col min="27" max="27" width="11.453125" style="1" bestFit="1" customWidth="1"/>
    <col min="28" max="16384" width="8.81640625" style="1"/>
  </cols>
  <sheetData>
    <row r="1" spans="1:29" ht="15" thickBot="1" x14ac:dyDescent="0.4"/>
    <row r="2" spans="1:29" s="6" customFormat="1" x14ac:dyDescent="0.35">
      <c r="A2" s="39" t="s">
        <v>0</v>
      </c>
      <c r="B2" s="9">
        <v>45658</v>
      </c>
      <c r="C2" s="9">
        <v>45689</v>
      </c>
      <c r="D2" s="9">
        <v>45717</v>
      </c>
      <c r="E2" s="9">
        <v>45748</v>
      </c>
      <c r="F2" s="9">
        <v>45778</v>
      </c>
      <c r="G2" s="9">
        <v>45809</v>
      </c>
      <c r="H2" s="9">
        <v>45839</v>
      </c>
      <c r="I2" s="9">
        <v>45870</v>
      </c>
      <c r="J2" s="9">
        <v>45901</v>
      </c>
      <c r="K2" s="9">
        <v>45931</v>
      </c>
      <c r="L2" s="9">
        <v>45962</v>
      </c>
      <c r="M2" s="9">
        <v>45992</v>
      </c>
      <c r="N2" s="11" t="s">
        <v>1</v>
      </c>
      <c r="O2" s="9">
        <v>46023</v>
      </c>
      <c r="P2" s="9">
        <v>46054</v>
      </c>
      <c r="Q2" s="9">
        <v>46082</v>
      </c>
      <c r="R2" s="9">
        <v>46113</v>
      </c>
      <c r="S2" s="9">
        <v>46143</v>
      </c>
      <c r="T2" s="9">
        <v>46174</v>
      </c>
      <c r="U2" s="9">
        <v>46204</v>
      </c>
      <c r="V2" s="9">
        <v>46235</v>
      </c>
      <c r="W2" s="9">
        <v>46266</v>
      </c>
      <c r="X2" s="9">
        <v>46296</v>
      </c>
      <c r="Y2" s="9">
        <v>46327</v>
      </c>
      <c r="Z2" s="9">
        <v>46357</v>
      </c>
      <c r="AA2" s="11" t="s">
        <v>2</v>
      </c>
      <c r="AB2" s="8"/>
      <c r="AC2" s="8"/>
    </row>
    <row r="3" spans="1:29" x14ac:dyDescent="0.35">
      <c r="A3" s="1" t="s">
        <v>60</v>
      </c>
      <c r="B3" s="15">
        <f>Forecast!C32</f>
        <v>11590</v>
      </c>
      <c r="C3" s="15">
        <f>Forecast!D32</f>
        <v>15030</v>
      </c>
      <c r="D3" s="15">
        <f>Forecast!E32</f>
        <v>14920</v>
      </c>
      <c r="E3" s="15">
        <f>Forecast!F32</f>
        <v>14980</v>
      </c>
      <c r="F3" s="15">
        <f>Forecast!G32</f>
        <v>19145</v>
      </c>
      <c r="G3" s="15">
        <f>Forecast!H32</f>
        <v>18495</v>
      </c>
      <c r="H3" s="15">
        <f>Forecast!I32</f>
        <v>18300</v>
      </c>
      <c r="I3" s="15">
        <f>Forecast!J32</f>
        <v>19130</v>
      </c>
      <c r="J3" s="15">
        <f>Forecast!K32</f>
        <v>16572</v>
      </c>
      <c r="K3" s="15">
        <f>Forecast!L32</f>
        <v>17445</v>
      </c>
      <c r="L3" s="15">
        <f>Forecast!M32</f>
        <v>16524</v>
      </c>
      <c r="M3" s="15">
        <f>Forecast!N32</f>
        <v>16610</v>
      </c>
      <c r="N3" s="17">
        <f>SUM(B3:M3)</f>
        <v>198741</v>
      </c>
      <c r="O3" s="15">
        <f>Forecast!P32</f>
        <v>18764</v>
      </c>
      <c r="P3" s="15">
        <f>Forecast!Q32</f>
        <v>18825</v>
      </c>
      <c r="Q3" s="15">
        <f>Forecast!R32</f>
        <v>21122</v>
      </c>
      <c r="R3" s="15">
        <f>Forecast!S32</f>
        <v>21123</v>
      </c>
      <c r="S3" s="15">
        <f>Forecast!T32</f>
        <v>20164</v>
      </c>
      <c r="T3" s="15">
        <f>Forecast!U32</f>
        <v>20350</v>
      </c>
      <c r="U3" s="15">
        <f>Forecast!V32</f>
        <v>21725</v>
      </c>
      <c r="V3" s="15">
        <f>Forecast!W32</f>
        <v>21225</v>
      </c>
      <c r="W3" s="15">
        <f>Forecast!X32</f>
        <v>19175</v>
      </c>
      <c r="X3" s="15">
        <f>Forecast!Y32</f>
        <v>17740</v>
      </c>
      <c r="Y3" s="15">
        <f>Forecast!Z32</f>
        <v>16990</v>
      </c>
      <c r="Z3" s="15">
        <f>Forecast!AA32</f>
        <v>13455</v>
      </c>
      <c r="AA3" s="19">
        <f>SUM(O3:Z3)</f>
        <v>230658</v>
      </c>
    </row>
    <row r="4" spans="1:29" x14ac:dyDescent="0.35">
      <c r="A4" s="1" t="s">
        <v>61</v>
      </c>
      <c r="B4" s="15">
        <f>'IMS vs FRCST'!C32</f>
        <v>14784</v>
      </c>
      <c r="C4" s="15">
        <f>'IMS vs FRCST'!D32</f>
        <v>10218</v>
      </c>
      <c r="D4" s="15">
        <f>'IMS vs FRCST'!E32</f>
        <v>21235</v>
      </c>
      <c r="E4" s="15">
        <f>'IMS vs FRCST'!F32</f>
        <v>22196</v>
      </c>
      <c r="F4" s="15">
        <f>'IMS vs FRCST'!G32</f>
        <v>1554</v>
      </c>
      <c r="G4" s="15">
        <f>'IMS vs FRCST'!H32</f>
        <v>10767</v>
      </c>
      <c r="H4" s="15">
        <f>'IMS vs FRCST'!I32</f>
        <v>14935</v>
      </c>
      <c r="I4" s="15">
        <f>'IMS vs FRCST'!J32</f>
        <v>17847</v>
      </c>
      <c r="J4" s="15">
        <f>'IMS vs FRCST'!K32</f>
        <v>23853</v>
      </c>
      <c r="K4" s="15">
        <f>'IMS vs FRCST'!L32</f>
        <v>24612</v>
      </c>
      <c r="L4" s="15">
        <f>'IMS vs FRCST'!M32</f>
        <v>23102</v>
      </c>
      <c r="M4" s="15">
        <f>'IMS vs FRCST'!N32</f>
        <v>11888</v>
      </c>
      <c r="N4" s="17">
        <f>SUM(B4:M4)</f>
        <v>196991</v>
      </c>
      <c r="O4" s="15">
        <f>'IMS vs FRCST'!P32</f>
        <v>21751</v>
      </c>
      <c r="P4" s="15">
        <f>'IMS vs FRCST'!Q32</f>
        <v>12477</v>
      </c>
      <c r="Q4" s="15">
        <f>'IMS vs FRCST'!R32</f>
        <v>17693</v>
      </c>
      <c r="R4" s="15">
        <f>'IMS vs FRCST'!S32</f>
        <v>21123</v>
      </c>
      <c r="S4" s="15">
        <f>'IMS vs FRCST'!T32</f>
        <v>20164</v>
      </c>
      <c r="T4" s="15">
        <f>'IMS vs FRCST'!U32</f>
        <v>20350</v>
      </c>
      <c r="U4" s="15">
        <f>'IMS vs FRCST'!V32</f>
        <v>21725</v>
      </c>
      <c r="V4" s="15">
        <f>'IMS vs FRCST'!W32</f>
        <v>21225</v>
      </c>
      <c r="W4" s="15">
        <f>'IMS vs FRCST'!X32</f>
        <v>19175</v>
      </c>
      <c r="X4" s="15">
        <f>'IMS vs FRCST'!Y32</f>
        <v>17740</v>
      </c>
      <c r="Y4" s="15">
        <f>'IMS vs FRCST'!Z32</f>
        <v>16990</v>
      </c>
      <c r="Z4" s="15">
        <f>'IMS vs FRCST'!AA32</f>
        <v>13455</v>
      </c>
      <c r="AA4" s="19">
        <f>SUM(O4:Z4)</f>
        <v>223868</v>
      </c>
    </row>
    <row r="5" spans="1:29" s="6" customFormat="1" ht="15" thickBot="1" x14ac:dyDescent="0.4">
      <c r="A5" s="6" t="s">
        <v>62</v>
      </c>
      <c r="B5" s="16">
        <f>B3-B4</f>
        <v>-3194</v>
      </c>
      <c r="C5" s="16">
        <f t="shared" ref="C5:H5" si="0">C3-C4</f>
        <v>4812</v>
      </c>
      <c r="D5" s="16">
        <f t="shared" si="0"/>
        <v>-6315</v>
      </c>
      <c r="E5" s="16">
        <f t="shared" si="0"/>
        <v>-7216</v>
      </c>
      <c r="F5" s="16">
        <f t="shared" si="0"/>
        <v>17591</v>
      </c>
      <c r="G5" s="16">
        <f t="shared" si="0"/>
        <v>7728</v>
      </c>
      <c r="H5" s="16">
        <f t="shared" si="0"/>
        <v>3365</v>
      </c>
      <c r="I5" s="16">
        <f t="shared" ref="I5" si="1">I3-I4</f>
        <v>1283</v>
      </c>
      <c r="J5" s="16">
        <f t="shared" ref="J5" si="2">J3-J4</f>
        <v>-7281</v>
      </c>
      <c r="K5" s="16">
        <f t="shared" ref="K5" si="3">K3-K4</f>
        <v>-7167</v>
      </c>
      <c r="L5" s="16">
        <f t="shared" ref="L5" si="4">L3-L4</f>
        <v>-6578</v>
      </c>
      <c r="M5" s="16">
        <f t="shared" ref="M5" si="5">M3-M4</f>
        <v>4722</v>
      </c>
      <c r="N5" s="18">
        <f t="shared" ref="N5" si="6">N3-N4</f>
        <v>1750</v>
      </c>
      <c r="O5" s="16">
        <f>SUM(O3:O4)</f>
        <v>40515</v>
      </c>
      <c r="P5" s="16">
        <f t="shared" ref="P5:Z5" si="7">SUM(P3:P4)</f>
        <v>31302</v>
      </c>
      <c r="Q5" s="16">
        <f t="shared" si="7"/>
        <v>38815</v>
      </c>
      <c r="R5" s="16">
        <f t="shared" si="7"/>
        <v>42246</v>
      </c>
      <c r="S5" s="16">
        <f t="shared" si="7"/>
        <v>40328</v>
      </c>
      <c r="T5" s="16">
        <f t="shared" si="7"/>
        <v>40700</v>
      </c>
      <c r="U5" s="16">
        <f t="shared" si="7"/>
        <v>43450</v>
      </c>
      <c r="V5" s="16">
        <f t="shared" si="7"/>
        <v>42450</v>
      </c>
      <c r="W5" s="16">
        <f t="shared" si="7"/>
        <v>38350</v>
      </c>
      <c r="X5" s="16">
        <f t="shared" si="7"/>
        <v>35480</v>
      </c>
      <c r="Y5" s="16">
        <f t="shared" si="7"/>
        <v>33980</v>
      </c>
      <c r="Z5" s="16">
        <f t="shared" si="7"/>
        <v>26910</v>
      </c>
      <c r="AA5" s="20">
        <f>AA3-AA4</f>
        <v>6790</v>
      </c>
    </row>
    <row r="6" spans="1:29" x14ac:dyDescent="0.35">
      <c r="A6" s="6" t="s">
        <v>63</v>
      </c>
      <c r="H6" s="38">
        <f>SUM(B5:H5)</f>
        <v>16771</v>
      </c>
    </row>
    <row r="7" spans="1:29" x14ac:dyDescent="0.35">
      <c r="A7" s="1" t="s">
        <v>64</v>
      </c>
      <c r="B7" s="40">
        <f>'Arrival to Regie'!G33</f>
        <v>16374</v>
      </c>
      <c r="C7" s="40">
        <f>'Arrival to Regie'!L33</f>
        <v>18588</v>
      </c>
      <c r="D7" s="40">
        <f>'Arrival to Regie'!Q33</f>
        <v>22481</v>
      </c>
      <c r="E7" s="40">
        <f>'Arrival to Regie'!V33</f>
        <v>14807</v>
      </c>
      <c r="F7" s="40">
        <f>'Arrival to Regie'!AA33</f>
        <v>0</v>
      </c>
      <c r="G7" s="40">
        <f>'Arrival to Regie'!AF33</f>
        <v>13071</v>
      </c>
      <c r="H7" s="40">
        <f>'Arrival to Regie'!AK33</f>
        <v>18465</v>
      </c>
    </row>
    <row r="8" spans="1:29" x14ac:dyDescent="0.35">
      <c r="A8" s="1" t="s">
        <v>65</v>
      </c>
      <c r="B8" s="40">
        <f>B7-B3</f>
        <v>4784</v>
      </c>
      <c r="C8" s="40">
        <f t="shared" ref="C8:H8" si="8">C7-C3</f>
        <v>3558</v>
      </c>
      <c r="D8" s="40">
        <f t="shared" si="8"/>
        <v>7561</v>
      </c>
      <c r="E8" s="40">
        <f t="shared" si="8"/>
        <v>-173</v>
      </c>
      <c r="F8" s="40">
        <f t="shared" si="8"/>
        <v>-19145</v>
      </c>
      <c r="G8" s="40">
        <f t="shared" si="8"/>
        <v>-5424</v>
      </c>
      <c r="H8" s="40">
        <f t="shared" si="8"/>
        <v>165</v>
      </c>
    </row>
    <row r="9" spans="1:29" x14ac:dyDescent="0.35">
      <c r="H9" s="40">
        <f>SUM(B8:H8)</f>
        <v>-8674</v>
      </c>
    </row>
  </sheetData>
  <pageMargins left="0.7" right="0.7" top="0.75" bottom="0.75" header="0.3" footer="0.3"/>
  <headerFooter>
    <oddFooter>&amp;L_x000D_&amp;1#&amp;"Aptos"&amp;10&amp;K000000 Confidential External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6C0E-4D38-4829-A44B-194B0DE5A5AB}">
  <sheetPr codeName="Sheet13"/>
  <dimension ref="A1:Q25"/>
  <sheetViews>
    <sheetView workbookViewId="0">
      <selection activeCell="M23" sqref="M23"/>
    </sheetView>
  </sheetViews>
  <sheetFormatPr defaultRowHeight="14.5" x14ac:dyDescent="0.35"/>
  <cols>
    <col min="14" max="14" width="11.81640625" bestFit="1" customWidth="1"/>
  </cols>
  <sheetData>
    <row r="1" spans="1:17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9"/>
      <c r="O1" s="51"/>
      <c r="P1" s="51"/>
      <c r="Q1" s="51"/>
    </row>
    <row r="2" spans="1:17" x14ac:dyDescent="0.35">
      <c r="A2" s="60" t="s">
        <v>0</v>
      </c>
      <c r="B2" s="61">
        <v>45683</v>
      </c>
      <c r="C2" s="61">
        <v>45714</v>
      </c>
      <c r="D2" s="61">
        <v>45742</v>
      </c>
      <c r="E2" s="61">
        <v>45773</v>
      </c>
      <c r="F2" s="61">
        <v>45803</v>
      </c>
      <c r="G2" s="61">
        <v>45834</v>
      </c>
      <c r="H2" s="61">
        <v>45864</v>
      </c>
      <c r="I2" s="61">
        <v>45895</v>
      </c>
      <c r="J2" s="61">
        <v>45926</v>
      </c>
      <c r="K2" s="61">
        <v>45956</v>
      </c>
      <c r="L2" s="61">
        <v>45987</v>
      </c>
      <c r="M2" s="61">
        <v>46017</v>
      </c>
      <c r="N2" s="62" t="s">
        <v>2</v>
      </c>
      <c r="O2" s="60"/>
      <c r="P2" s="60"/>
      <c r="Q2" s="60"/>
    </row>
    <row r="3" spans="1:17" x14ac:dyDescent="0.35">
      <c r="A3" s="51" t="s">
        <v>5</v>
      </c>
      <c r="B3" s="51">
        <v>250</v>
      </c>
      <c r="C3" s="51">
        <v>230</v>
      </c>
      <c r="D3" s="51">
        <v>240</v>
      </c>
      <c r="E3" s="51">
        <v>280</v>
      </c>
      <c r="F3" s="51">
        <v>300</v>
      </c>
      <c r="G3" s="51">
        <v>300</v>
      </c>
      <c r="H3" s="51">
        <v>300</v>
      </c>
      <c r="I3" s="51">
        <v>300</v>
      </c>
      <c r="J3" s="51">
        <v>240</v>
      </c>
      <c r="K3" s="51">
        <v>280</v>
      </c>
      <c r="L3" s="51">
        <v>300</v>
      </c>
      <c r="M3" s="51">
        <v>300</v>
      </c>
      <c r="N3" s="64">
        <v>3320</v>
      </c>
      <c r="O3" s="51"/>
      <c r="P3" s="51"/>
      <c r="Q3" s="51"/>
    </row>
    <row r="4" spans="1:17" x14ac:dyDescent="0.35">
      <c r="A4" s="51" t="s">
        <v>6</v>
      </c>
      <c r="B4" s="51">
        <v>800</v>
      </c>
      <c r="C4" s="51">
        <v>800</v>
      </c>
      <c r="D4" s="51">
        <v>800</v>
      </c>
      <c r="E4" s="51">
        <v>750</v>
      </c>
      <c r="F4" s="51">
        <v>750</v>
      </c>
      <c r="G4" s="51">
        <v>750</v>
      </c>
      <c r="H4" s="51">
        <v>750</v>
      </c>
      <c r="I4" s="51">
        <v>750</v>
      </c>
      <c r="J4" s="51">
        <v>750</v>
      </c>
      <c r="K4" s="51">
        <v>550</v>
      </c>
      <c r="L4" s="51">
        <v>550</v>
      </c>
      <c r="M4" s="51">
        <v>600</v>
      </c>
      <c r="N4" s="64">
        <v>8600</v>
      </c>
      <c r="O4" s="51"/>
      <c r="P4" s="51"/>
      <c r="Q4" s="51"/>
    </row>
    <row r="5" spans="1:17" x14ac:dyDescent="0.35">
      <c r="A5" s="51" t="s">
        <v>7</v>
      </c>
      <c r="B5" s="51">
        <v>400</v>
      </c>
      <c r="C5" s="51">
        <v>400</v>
      </c>
      <c r="D5" s="51">
        <v>400</v>
      </c>
      <c r="E5" s="51">
        <v>400</v>
      </c>
      <c r="F5" s="51">
        <v>500</v>
      </c>
      <c r="G5" s="51">
        <v>500</v>
      </c>
      <c r="H5" s="51">
        <v>500</v>
      </c>
      <c r="I5" s="51">
        <v>500</v>
      </c>
      <c r="J5" s="51">
        <v>300</v>
      </c>
      <c r="K5" s="51">
        <v>300</v>
      </c>
      <c r="L5" s="51">
        <v>300</v>
      </c>
      <c r="M5" s="51">
        <v>300</v>
      </c>
      <c r="N5" s="64">
        <v>4800</v>
      </c>
      <c r="O5" s="51"/>
      <c r="P5" s="51"/>
      <c r="Q5" s="51"/>
    </row>
    <row r="6" spans="1:17" x14ac:dyDescent="0.35">
      <c r="A6" s="51" t="s">
        <v>8</v>
      </c>
      <c r="B6" s="51">
        <v>550</v>
      </c>
      <c r="C6" s="51">
        <v>550</v>
      </c>
      <c r="D6" s="51">
        <v>550</v>
      </c>
      <c r="E6" s="51">
        <v>550</v>
      </c>
      <c r="F6" s="51">
        <v>550</v>
      </c>
      <c r="G6" s="51">
        <v>500</v>
      </c>
      <c r="H6" s="51">
        <v>500</v>
      </c>
      <c r="I6" s="51">
        <v>500</v>
      </c>
      <c r="J6" s="51">
        <v>500</v>
      </c>
      <c r="K6" s="51">
        <v>400</v>
      </c>
      <c r="L6" s="51">
        <v>400</v>
      </c>
      <c r="M6" s="51">
        <v>400</v>
      </c>
      <c r="N6" s="64">
        <v>5950</v>
      </c>
      <c r="O6" s="51"/>
      <c r="P6" s="51"/>
      <c r="Q6" s="51"/>
    </row>
    <row r="7" spans="1:17" x14ac:dyDescent="0.35">
      <c r="A7" s="51" t="s">
        <v>9</v>
      </c>
      <c r="B7" s="56">
        <v>4000</v>
      </c>
      <c r="C7" s="56">
        <v>4000</v>
      </c>
      <c r="D7" s="56">
        <v>4000</v>
      </c>
      <c r="E7" s="56">
        <v>4000</v>
      </c>
      <c r="F7" s="56">
        <v>4000</v>
      </c>
      <c r="G7" s="56">
        <v>4000</v>
      </c>
      <c r="H7" s="56">
        <v>4000</v>
      </c>
      <c r="I7" s="56">
        <v>4000</v>
      </c>
      <c r="J7" s="56">
        <v>3500</v>
      </c>
      <c r="K7" s="56">
        <v>2500</v>
      </c>
      <c r="L7" s="56">
        <v>2500</v>
      </c>
      <c r="M7" s="56">
        <v>2200</v>
      </c>
      <c r="N7" s="64">
        <v>42700</v>
      </c>
      <c r="O7" s="51"/>
      <c r="P7" s="51"/>
      <c r="Q7" s="51"/>
    </row>
    <row r="8" spans="1:17" x14ac:dyDescent="0.35">
      <c r="A8" s="51" t="s">
        <v>11</v>
      </c>
      <c r="B8" s="51">
        <v>125</v>
      </c>
      <c r="C8" s="51">
        <v>125</v>
      </c>
      <c r="D8" s="51">
        <v>125</v>
      </c>
      <c r="E8" s="51">
        <v>125</v>
      </c>
      <c r="F8" s="51">
        <v>125</v>
      </c>
      <c r="G8" s="51">
        <v>125</v>
      </c>
      <c r="H8" s="51">
        <v>150</v>
      </c>
      <c r="I8" s="51">
        <v>150</v>
      </c>
      <c r="J8" s="51">
        <v>150</v>
      </c>
      <c r="K8" s="51">
        <v>125</v>
      </c>
      <c r="L8" s="51">
        <v>125</v>
      </c>
      <c r="M8" s="51">
        <v>125</v>
      </c>
      <c r="N8" s="64">
        <v>1575</v>
      </c>
      <c r="O8" s="51"/>
      <c r="P8" s="51"/>
      <c r="Q8" s="51"/>
    </row>
    <row r="9" spans="1:17" x14ac:dyDescent="0.35">
      <c r="A9" s="51" t="s">
        <v>12</v>
      </c>
      <c r="B9" s="51">
        <v>250</v>
      </c>
      <c r="C9" s="51">
        <v>200</v>
      </c>
      <c r="D9" s="51">
        <v>200</v>
      </c>
      <c r="E9" s="51">
        <v>200</v>
      </c>
      <c r="F9" s="51">
        <v>200</v>
      </c>
      <c r="G9" s="51">
        <v>250</v>
      </c>
      <c r="H9" s="51">
        <v>250</v>
      </c>
      <c r="I9" s="51">
        <v>250</v>
      </c>
      <c r="J9" s="51">
        <v>250</v>
      </c>
      <c r="K9" s="51">
        <v>200</v>
      </c>
      <c r="L9" s="51">
        <v>200</v>
      </c>
      <c r="M9" s="51">
        <v>200</v>
      </c>
      <c r="N9" s="64">
        <v>2650</v>
      </c>
      <c r="O9" s="51"/>
      <c r="P9" s="51"/>
      <c r="Q9" s="83"/>
    </row>
    <row r="10" spans="1:17" x14ac:dyDescent="0.35">
      <c r="A10" s="51" t="s">
        <v>13</v>
      </c>
      <c r="B10" s="51">
        <v>175</v>
      </c>
      <c r="C10" s="51">
        <v>175</v>
      </c>
      <c r="D10" s="51">
        <v>175</v>
      </c>
      <c r="E10" s="51">
        <v>175</v>
      </c>
      <c r="F10" s="51">
        <v>175</v>
      </c>
      <c r="G10" s="51">
        <v>175</v>
      </c>
      <c r="H10" s="51">
        <v>175</v>
      </c>
      <c r="I10" s="51">
        <v>175</v>
      </c>
      <c r="J10" s="51">
        <v>175</v>
      </c>
      <c r="K10" s="51">
        <v>150</v>
      </c>
      <c r="L10" s="51">
        <v>150</v>
      </c>
      <c r="M10" s="51">
        <v>150</v>
      </c>
      <c r="N10" s="64">
        <v>2025</v>
      </c>
      <c r="O10" s="51"/>
      <c r="P10" s="51"/>
      <c r="Q10" s="51"/>
    </row>
    <row r="11" spans="1:17" x14ac:dyDescent="0.35">
      <c r="A11" s="51" t="s">
        <v>14</v>
      </c>
      <c r="B11" s="56">
        <v>5000</v>
      </c>
      <c r="C11" s="56">
        <v>4500</v>
      </c>
      <c r="D11" s="56">
        <v>4000</v>
      </c>
      <c r="E11" s="56">
        <v>3500</v>
      </c>
      <c r="F11" s="56">
        <v>3500</v>
      </c>
      <c r="G11" s="56">
        <v>3500</v>
      </c>
      <c r="H11" s="56">
        <v>3500</v>
      </c>
      <c r="I11" s="56">
        <v>3500</v>
      </c>
      <c r="J11" s="56">
        <v>3000</v>
      </c>
      <c r="K11" s="56">
        <v>2500</v>
      </c>
      <c r="L11" s="56">
        <v>2500</v>
      </c>
      <c r="M11" s="56">
        <v>2200</v>
      </c>
      <c r="N11" s="64">
        <v>41200</v>
      </c>
      <c r="O11" s="51"/>
      <c r="P11" s="51"/>
      <c r="Q11" s="51"/>
    </row>
    <row r="12" spans="1:17" x14ac:dyDescent="0.35">
      <c r="A12" s="51" t="s">
        <v>15</v>
      </c>
      <c r="B12" s="51">
        <v>200</v>
      </c>
      <c r="C12" s="51">
        <v>200</v>
      </c>
      <c r="D12" s="51">
        <v>200</v>
      </c>
      <c r="E12" s="51">
        <v>200</v>
      </c>
      <c r="F12" s="51">
        <v>250</v>
      </c>
      <c r="G12" s="51">
        <v>200</v>
      </c>
      <c r="H12" s="51">
        <v>200</v>
      </c>
      <c r="I12" s="51">
        <v>200</v>
      </c>
      <c r="J12" s="51">
        <v>200</v>
      </c>
      <c r="K12" s="51">
        <v>200</v>
      </c>
      <c r="L12" s="51">
        <v>200</v>
      </c>
      <c r="M12" s="51">
        <v>200</v>
      </c>
      <c r="N12" s="64">
        <v>2450</v>
      </c>
      <c r="O12" s="51"/>
      <c r="P12" s="51"/>
      <c r="Q12" s="51"/>
    </row>
    <row r="13" spans="1:17" x14ac:dyDescent="0.35">
      <c r="A13" s="57" t="s">
        <v>17</v>
      </c>
      <c r="B13" s="57" t="s">
        <v>19</v>
      </c>
      <c r="C13" s="57" t="s">
        <v>19</v>
      </c>
      <c r="D13" s="57" t="s">
        <v>20</v>
      </c>
      <c r="E13" s="57" t="s">
        <v>20</v>
      </c>
      <c r="F13" s="57" t="s">
        <v>20</v>
      </c>
      <c r="G13" s="57" t="s">
        <v>66</v>
      </c>
      <c r="H13" s="57" t="s">
        <v>20</v>
      </c>
      <c r="I13" s="57" t="s">
        <v>20</v>
      </c>
      <c r="J13" s="57" t="s">
        <v>20</v>
      </c>
      <c r="K13" s="57" t="s">
        <v>66</v>
      </c>
      <c r="L13" s="57" t="s">
        <v>67</v>
      </c>
      <c r="M13" s="57" t="s">
        <v>67</v>
      </c>
      <c r="N13" s="65" t="s">
        <v>50</v>
      </c>
      <c r="O13" s="51"/>
      <c r="P13" s="51"/>
      <c r="Q13" s="51"/>
    </row>
    <row r="14" spans="1:17" x14ac:dyDescent="0.35">
      <c r="A14" s="51" t="s">
        <v>21</v>
      </c>
      <c r="B14" s="51">
        <v>30</v>
      </c>
      <c r="C14" s="51">
        <v>30</v>
      </c>
      <c r="D14" s="51">
        <v>30</v>
      </c>
      <c r="E14" s="51">
        <v>60</v>
      </c>
      <c r="F14" s="51">
        <v>60</v>
      </c>
      <c r="G14" s="51">
        <v>30</v>
      </c>
      <c r="H14" s="51">
        <v>30</v>
      </c>
      <c r="I14" s="51">
        <v>30</v>
      </c>
      <c r="J14" s="51">
        <v>30</v>
      </c>
      <c r="K14" s="51">
        <v>30</v>
      </c>
      <c r="L14" s="51">
        <v>30</v>
      </c>
      <c r="M14" s="51">
        <v>30</v>
      </c>
      <c r="N14" s="63">
        <v>420</v>
      </c>
      <c r="O14" s="51"/>
      <c r="P14" s="51"/>
      <c r="Q14" s="51"/>
    </row>
    <row r="15" spans="1:17" x14ac:dyDescent="0.35">
      <c r="A15" s="57" t="s">
        <v>22</v>
      </c>
      <c r="B15" s="57" t="s">
        <v>19</v>
      </c>
      <c r="C15" s="57" t="s">
        <v>19</v>
      </c>
      <c r="D15" s="57" t="s">
        <v>20</v>
      </c>
      <c r="E15" s="57" t="s">
        <v>20</v>
      </c>
      <c r="F15" s="57" t="s">
        <v>20</v>
      </c>
      <c r="G15" s="57" t="s">
        <v>66</v>
      </c>
      <c r="H15" s="57" t="s">
        <v>20</v>
      </c>
      <c r="I15" s="57" t="s">
        <v>20</v>
      </c>
      <c r="J15" s="57" t="s">
        <v>20</v>
      </c>
      <c r="K15" s="57" t="s">
        <v>66</v>
      </c>
      <c r="L15" s="57" t="s">
        <v>67</v>
      </c>
      <c r="M15" s="57" t="s">
        <v>67</v>
      </c>
      <c r="N15" s="65" t="s">
        <v>50</v>
      </c>
      <c r="O15" s="51"/>
      <c r="P15" s="51"/>
      <c r="Q15" s="51"/>
    </row>
    <row r="16" spans="1:17" x14ac:dyDescent="0.35">
      <c r="A16" s="51" t="s">
        <v>23</v>
      </c>
      <c r="B16" s="51">
        <v>200</v>
      </c>
      <c r="C16" s="51">
        <v>200</v>
      </c>
      <c r="D16" s="51">
        <v>200</v>
      </c>
      <c r="E16" s="51">
        <v>200</v>
      </c>
      <c r="F16" s="51">
        <v>200</v>
      </c>
      <c r="G16" s="51">
        <v>200</v>
      </c>
      <c r="H16" s="51">
        <v>200</v>
      </c>
      <c r="I16" s="51">
        <v>200</v>
      </c>
      <c r="J16" s="51">
        <v>150</v>
      </c>
      <c r="K16" s="51">
        <v>150</v>
      </c>
      <c r="L16" s="51">
        <v>150</v>
      </c>
      <c r="M16" s="51">
        <v>150</v>
      </c>
      <c r="N16" s="64">
        <v>2200</v>
      </c>
      <c r="O16" s="51"/>
      <c r="P16" s="51"/>
      <c r="Q16" s="51"/>
    </row>
    <row r="17" spans="1:17" x14ac:dyDescent="0.35">
      <c r="A17" s="51" t="s">
        <v>24</v>
      </c>
      <c r="B17" s="51">
        <v>400</v>
      </c>
      <c r="C17" s="51">
        <v>400</v>
      </c>
      <c r="D17" s="51">
        <v>400</v>
      </c>
      <c r="E17" s="51">
        <v>400</v>
      </c>
      <c r="F17" s="51">
        <v>400</v>
      </c>
      <c r="G17" s="51">
        <v>400</v>
      </c>
      <c r="H17" s="51">
        <v>400</v>
      </c>
      <c r="I17" s="51">
        <v>400</v>
      </c>
      <c r="J17" s="51">
        <v>400</v>
      </c>
      <c r="K17" s="51">
        <v>300</v>
      </c>
      <c r="L17" s="51">
        <v>300</v>
      </c>
      <c r="M17" s="51">
        <v>300</v>
      </c>
      <c r="N17" s="64">
        <v>4500</v>
      </c>
      <c r="O17" s="51"/>
      <c r="P17" s="51"/>
      <c r="Q17" s="51"/>
    </row>
    <row r="18" spans="1:17" x14ac:dyDescent="0.35">
      <c r="A18" s="51" t="s">
        <v>25</v>
      </c>
      <c r="B18" s="51">
        <v>70</v>
      </c>
      <c r="C18" s="51">
        <v>70</v>
      </c>
      <c r="D18" s="51">
        <v>70</v>
      </c>
      <c r="E18" s="51">
        <v>70</v>
      </c>
      <c r="F18" s="51">
        <v>80</v>
      </c>
      <c r="G18" s="51">
        <v>80</v>
      </c>
      <c r="H18" s="51">
        <v>80</v>
      </c>
      <c r="I18" s="51">
        <v>80</v>
      </c>
      <c r="J18" s="51">
        <v>70</v>
      </c>
      <c r="K18" s="51">
        <v>70</v>
      </c>
      <c r="L18" s="51">
        <v>70</v>
      </c>
      <c r="M18" s="51">
        <v>70</v>
      </c>
      <c r="N18" s="63">
        <v>880</v>
      </c>
      <c r="O18" s="51"/>
      <c r="P18" s="51"/>
      <c r="Q18" s="51"/>
    </row>
    <row r="19" spans="1:17" x14ac:dyDescent="0.35">
      <c r="A19" s="51" t="s">
        <v>26</v>
      </c>
      <c r="B19" s="51" t="s">
        <v>68</v>
      </c>
      <c r="C19" s="51" t="s">
        <v>68</v>
      </c>
      <c r="D19" s="51">
        <v>40</v>
      </c>
      <c r="E19" s="51">
        <v>40</v>
      </c>
      <c r="F19" s="51">
        <v>40</v>
      </c>
      <c r="G19" s="51">
        <v>20</v>
      </c>
      <c r="H19" s="51">
        <v>20</v>
      </c>
      <c r="I19" s="51">
        <v>20</v>
      </c>
      <c r="J19" s="51">
        <v>20</v>
      </c>
      <c r="K19" s="51">
        <v>20</v>
      </c>
      <c r="L19" s="51">
        <v>25</v>
      </c>
      <c r="M19" s="51">
        <v>25</v>
      </c>
      <c r="N19" s="63">
        <v>270</v>
      </c>
      <c r="O19" s="51"/>
      <c r="P19" s="51"/>
      <c r="Q19" s="51"/>
    </row>
    <row r="20" spans="1:17" x14ac:dyDescent="0.35">
      <c r="A20" s="51" t="s">
        <v>27</v>
      </c>
      <c r="B20" s="51">
        <v>250</v>
      </c>
      <c r="C20" s="51">
        <v>250</v>
      </c>
      <c r="D20" s="51">
        <v>300</v>
      </c>
      <c r="E20" s="51">
        <v>300</v>
      </c>
      <c r="F20" s="51">
        <v>300</v>
      </c>
      <c r="G20" s="51">
        <v>300</v>
      </c>
      <c r="H20" s="51">
        <v>300</v>
      </c>
      <c r="I20" s="51">
        <v>300</v>
      </c>
      <c r="J20" s="51">
        <v>300</v>
      </c>
      <c r="K20" s="51">
        <v>250</v>
      </c>
      <c r="L20" s="51">
        <v>250</v>
      </c>
      <c r="M20" s="51">
        <v>250</v>
      </c>
      <c r="N20" s="64">
        <v>3350</v>
      </c>
      <c r="O20" s="51"/>
      <c r="P20" s="51"/>
      <c r="Q20" s="51"/>
    </row>
    <row r="21" spans="1:17" x14ac:dyDescent="0.35">
      <c r="A21" s="51" t="s">
        <v>28</v>
      </c>
      <c r="B21" s="51" t="s">
        <v>19</v>
      </c>
      <c r="C21" s="51">
        <v>0</v>
      </c>
      <c r="D21" s="51">
        <v>40</v>
      </c>
      <c r="E21" s="51">
        <v>40</v>
      </c>
      <c r="F21" s="51">
        <v>40</v>
      </c>
      <c r="G21" s="51">
        <v>40</v>
      </c>
      <c r="H21" s="51">
        <v>40</v>
      </c>
      <c r="I21" s="51">
        <v>40</v>
      </c>
      <c r="J21" s="51">
        <v>40</v>
      </c>
      <c r="K21" s="51">
        <v>40</v>
      </c>
      <c r="L21" s="51">
        <v>40</v>
      </c>
      <c r="M21" s="51">
        <v>40</v>
      </c>
      <c r="N21" s="63">
        <v>400</v>
      </c>
      <c r="O21" s="51"/>
      <c r="P21" s="51"/>
      <c r="Q21" s="51"/>
    </row>
    <row r="22" spans="1:17" x14ac:dyDescent="0.35">
      <c r="A22" s="51" t="s">
        <v>29</v>
      </c>
      <c r="B22" s="51">
        <v>400</v>
      </c>
      <c r="C22" s="51">
        <v>300</v>
      </c>
      <c r="D22" s="51">
        <v>300</v>
      </c>
      <c r="E22" s="51">
        <v>350</v>
      </c>
      <c r="F22" s="51">
        <v>350</v>
      </c>
      <c r="G22" s="51">
        <v>400</v>
      </c>
      <c r="H22" s="51">
        <v>400</v>
      </c>
      <c r="I22" s="51">
        <v>350</v>
      </c>
      <c r="J22" s="51">
        <v>350</v>
      </c>
      <c r="K22" s="51">
        <v>350</v>
      </c>
      <c r="L22" s="51">
        <v>250</v>
      </c>
      <c r="M22" s="51">
        <v>250</v>
      </c>
      <c r="N22" s="64">
        <v>4050</v>
      </c>
      <c r="O22" s="51"/>
      <c r="P22" s="51"/>
      <c r="Q22" s="51"/>
    </row>
    <row r="23" spans="1:17" x14ac:dyDescent="0.35">
      <c r="A23" s="51" t="s">
        <v>30</v>
      </c>
      <c r="B23" s="56">
        <v>7500</v>
      </c>
      <c r="C23" s="56">
        <v>8000</v>
      </c>
      <c r="D23" s="56">
        <v>7000</v>
      </c>
      <c r="E23" s="56">
        <v>7000</v>
      </c>
      <c r="F23" s="56">
        <v>7000</v>
      </c>
      <c r="G23" s="56">
        <v>6750</v>
      </c>
      <c r="H23" s="56">
        <v>6500</v>
      </c>
      <c r="I23" s="56">
        <v>6000</v>
      </c>
      <c r="J23" s="56">
        <v>6000</v>
      </c>
      <c r="K23" s="56">
        <v>4000</v>
      </c>
      <c r="L23" s="56">
        <v>4000</v>
      </c>
      <c r="M23" s="56">
        <v>4000</v>
      </c>
      <c r="N23" s="64">
        <v>73750</v>
      </c>
      <c r="O23" s="51"/>
      <c r="P23" s="51"/>
      <c r="Q23" s="51"/>
    </row>
    <row r="24" spans="1:17" x14ac:dyDescent="0.35">
      <c r="A24" s="59" t="s">
        <v>46</v>
      </c>
      <c r="B24" s="66">
        <v>20600</v>
      </c>
      <c r="C24" s="66">
        <v>20430</v>
      </c>
      <c r="D24" s="66">
        <v>19070</v>
      </c>
      <c r="E24" s="66">
        <v>18640</v>
      </c>
      <c r="F24" s="66">
        <v>18820</v>
      </c>
      <c r="G24" s="66">
        <v>18520</v>
      </c>
      <c r="H24" s="66">
        <v>18295</v>
      </c>
      <c r="I24" s="66">
        <v>17745</v>
      </c>
      <c r="J24" s="66">
        <v>16425</v>
      </c>
      <c r="K24" s="66">
        <v>12415</v>
      </c>
      <c r="L24" s="66">
        <v>12340</v>
      </c>
      <c r="M24" s="66">
        <v>11790</v>
      </c>
      <c r="N24" s="67">
        <v>205090</v>
      </c>
      <c r="O24" s="59"/>
      <c r="P24" s="59"/>
      <c r="Q24" s="59"/>
    </row>
    <row r="25" spans="1:17" x14ac:dyDescent="0.3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9"/>
      <c r="O25" s="51"/>
      <c r="P25" s="51"/>
      <c r="Q25" s="51"/>
    </row>
  </sheetData>
  <pageMargins left="0.7" right="0.7" top="0.75" bottom="0.75" header="0.3" footer="0.3"/>
  <headerFooter>
    <oddFooter>&amp;L_x000D_&amp;1#&amp;"Aptos"&amp;10&amp;K000000 Confidential External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9EA7-F5F0-4267-A81B-9E6F24AA8A8B}">
  <sheetPr codeName="Sheet14"/>
  <dimension ref="A1:AB35"/>
  <sheetViews>
    <sheetView workbookViewId="0">
      <pane xSplit="1" ySplit="1" topLeftCell="D3" activePane="bottomRight" state="frozen"/>
      <selection pane="topRight"/>
      <selection pane="bottomLeft"/>
      <selection pane="bottomRight" activeCell="D3" sqref="D3"/>
    </sheetView>
  </sheetViews>
  <sheetFormatPr defaultRowHeight="14.5" x14ac:dyDescent="0.35"/>
  <cols>
    <col min="1" max="1" width="31.453125" bestFit="1" customWidth="1"/>
    <col min="2" max="6" width="9.54296875" bestFit="1" customWidth="1"/>
    <col min="7" max="9" width="10.7265625" bestFit="1" customWidth="1"/>
    <col min="10" max="13" width="9.54296875" bestFit="1" customWidth="1"/>
    <col min="14" max="14" width="11" bestFit="1" customWidth="1"/>
    <col min="15" max="19" width="9.54296875" bestFit="1" customWidth="1"/>
    <col min="20" max="22" width="10.7265625" bestFit="1" customWidth="1"/>
    <col min="23" max="26" width="9.54296875" bestFit="1" customWidth="1"/>
    <col min="27" max="27" width="11" bestFit="1" customWidth="1"/>
    <col min="28" max="28" width="11.72656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0"/>
      <c r="O1" s="10"/>
      <c r="P1" s="58"/>
      <c r="Q1" s="1"/>
      <c r="R1" s="1"/>
      <c r="S1" s="1"/>
      <c r="T1" s="1"/>
      <c r="U1" s="1"/>
      <c r="V1" s="1"/>
      <c r="W1" s="1"/>
      <c r="X1" s="1"/>
      <c r="Y1" s="1"/>
      <c r="Z1" s="1"/>
      <c r="AA1" s="10"/>
    </row>
    <row r="2" spans="1:27" x14ac:dyDescent="0.35">
      <c r="A2" s="9" t="s">
        <v>0</v>
      </c>
      <c r="B2" s="9">
        <v>46023</v>
      </c>
      <c r="C2" s="9">
        <v>46054</v>
      </c>
      <c r="D2" s="9">
        <v>46082</v>
      </c>
      <c r="E2" s="9">
        <v>46113</v>
      </c>
      <c r="F2" s="9">
        <v>46143</v>
      </c>
      <c r="G2" s="9">
        <v>46174</v>
      </c>
      <c r="H2" s="9">
        <v>46204</v>
      </c>
      <c r="I2" s="9">
        <v>46235</v>
      </c>
      <c r="J2" s="9">
        <v>46266</v>
      </c>
      <c r="K2" s="9">
        <v>46296</v>
      </c>
      <c r="L2" s="9">
        <v>46327</v>
      </c>
      <c r="M2" s="9">
        <v>46357</v>
      </c>
      <c r="N2" s="92" t="s">
        <v>2</v>
      </c>
      <c r="O2" s="9">
        <v>46388</v>
      </c>
      <c r="P2" s="9">
        <v>46419</v>
      </c>
      <c r="Q2" s="9">
        <v>46447</v>
      </c>
      <c r="R2" s="9">
        <v>46478</v>
      </c>
      <c r="S2" s="9">
        <v>46508</v>
      </c>
      <c r="T2" s="9">
        <v>46539</v>
      </c>
      <c r="U2" s="9">
        <v>46569</v>
      </c>
      <c r="V2" s="9">
        <v>46600</v>
      </c>
      <c r="W2" s="9">
        <v>46631</v>
      </c>
      <c r="X2" s="9">
        <v>46661</v>
      </c>
      <c r="Y2" s="9">
        <v>46692</v>
      </c>
      <c r="Z2" s="9">
        <v>46722</v>
      </c>
      <c r="AA2" s="92" t="s">
        <v>3</v>
      </c>
    </row>
    <row r="3" spans="1:27" x14ac:dyDescent="0.35">
      <c r="A3" s="6" t="s">
        <v>5</v>
      </c>
      <c r="B3" s="95">
        <v>250</v>
      </c>
      <c r="C3" s="95">
        <v>230</v>
      </c>
      <c r="D3" s="95">
        <v>240</v>
      </c>
      <c r="E3" s="95">
        <v>250</v>
      </c>
      <c r="F3" s="95">
        <v>300</v>
      </c>
      <c r="G3" s="95">
        <v>300</v>
      </c>
      <c r="H3" s="95">
        <v>300</v>
      </c>
      <c r="I3" s="95">
        <v>300</v>
      </c>
      <c r="J3" s="95">
        <v>300</v>
      </c>
      <c r="K3" s="95">
        <v>300</v>
      </c>
      <c r="L3" s="95">
        <v>300</v>
      </c>
      <c r="M3" s="95">
        <v>300</v>
      </c>
      <c r="N3" s="93">
        <f>SUM(B3:M3)</f>
        <v>3370</v>
      </c>
      <c r="O3" s="95">
        <v>250</v>
      </c>
      <c r="P3" s="95">
        <v>230</v>
      </c>
      <c r="Q3" s="95">
        <f>(D3*2%)+D3</f>
        <v>244.8</v>
      </c>
      <c r="R3" s="95">
        <f t="shared" ref="R3:Z18" si="0">(E3*2%)+E3</f>
        <v>255</v>
      </c>
      <c r="S3" s="95">
        <f t="shared" si="0"/>
        <v>306</v>
      </c>
      <c r="T3" s="95">
        <f t="shared" si="0"/>
        <v>306</v>
      </c>
      <c r="U3" s="95">
        <f t="shared" si="0"/>
        <v>306</v>
      </c>
      <c r="V3" s="95">
        <f t="shared" si="0"/>
        <v>306</v>
      </c>
      <c r="W3" s="95">
        <f t="shared" si="0"/>
        <v>306</v>
      </c>
      <c r="X3" s="95">
        <f t="shared" si="0"/>
        <v>306</v>
      </c>
      <c r="Y3" s="95">
        <f t="shared" si="0"/>
        <v>306</v>
      </c>
      <c r="Z3" s="95">
        <f t="shared" si="0"/>
        <v>306</v>
      </c>
      <c r="AA3" s="93">
        <f>SUM(O3:Z3)</f>
        <v>3427.8</v>
      </c>
    </row>
    <row r="4" spans="1:27" x14ac:dyDescent="0.35">
      <c r="A4" s="6" t="s">
        <v>6</v>
      </c>
      <c r="B4" s="95">
        <v>800</v>
      </c>
      <c r="C4" s="95">
        <v>800</v>
      </c>
      <c r="D4" s="95">
        <v>800</v>
      </c>
      <c r="E4" s="95">
        <v>900</v>
      </c>
      <c r="F4" s="95">
        <v>900</v>
      </c>
      <c r="G4" s="95">
        <v>900</v>
      </c>
      <c r="H4" s="95">
        <v>900</v>
      </c>
      <c r="I4" s="95">
        <v>900</v>
      </c>
      <c r="J4" s="95">
        <v>900</v>
      </c>
      <c r="K4" s="95">
        <v>900</v>
      </c>
      <c r="L4" s="95">
        <v>900</v>
      </c>
      <c r="M4" s="95">
        <v>900</v>
      </c>
      <c r="N4" s="93">
        <f t="shared" ref="N4:N29" si="1">SUM(B4:M4)</f>
        <v>10500</v>
      </c>
      <c r="O4" s="95">
        <v>800</v>
      </c>
      <c r="P4" s="95">
        <v>800</v>
      </c>
      <c r="Q4" s="95">
        <f t="shared" ref="Q4:Z23" si="2">(D4*2%)+D4</f>
        <v>816</v>
      </c>
      <c r="R4" s="95">
        <f t="shared" si="0"/>
        <v>918</v>
      </c>
      <c r="S4" s="95">
        <f t="shared" si="0"/>
        <v>918</v>
      </c>
      <c r="T4" s="95">
        <f t="shared" si="0"/>
        <v>918</v>
      </c>
      <c r="U4" s="95">
        <f t="shared" si="0"/>
        <v>918</v>
      </c>
      <c r="V4" s="95">
        <f t="shared" si="0"/>
        <v>918</v>
      </c>
      <c r="W4" s="95">
        <f t="shared" si="0"/>
        <v>918</v>
      </c>
      <c r="X4" s="95">
        <f t="shared" si="0"/>
        <v>918</v>
      </c>
      <c r="Y4" s="95">
        <f t="shared" si="0"/>
        <v>918</v>
      </c>
      <c r="Z4" s="95">
        <f t="shared" si="0"/>
        <v>918</v>
      </c>
      <c r="AA4" s="93">
        <f t="shared" ref="AA4:AA29" si="3">SUM(O4:Z4)</f>
        <v>10678</v>
      </c>
    </row>
    <row r="5" spans="1:27" x14ac:dyDescent="0.35">
      <c r="A5" s="6" t="s">
        <v>7</v>
      </c>
      <c r="B5" s="95">
        <v>400</v>
      </c>
      <c r="C5" s="95">
        <v>400</v>
      </c>
      <c r="D5" s="95">
        <v>400</v>
      </c>
      <c r="E5" s="95">
        <v>600</v>
      </c>
      <c r="F5" s="95">
        <v>600</v>
      </c>
      <c r="G5" s="95">
        <v>600</v>
      </c>
      <c r="H5" s="95">
        <v>600</v>
      </c>
      <c r="I5" s="95">
        <v>600</v>
      </c>
      <c r="J5" s="95">
        <v>600</v>
      </c>
      <c r="K5" s="95">
        <v>600</v>
      </c>
      <c r="L5" s="95">
        <v>600</v>
      </c>
      <c r="M5" s="95">
        <v>600</v>
      </c>
      <c r="N5" s="93">
        <f t="shared" si="1"/>
        <v>6600</v>
      </c>
      <c r="O5" s="95">
        <v>400</v>
      </c>
      <c r="P5" s="95">
        <v>400</v>
      </c>
      <c r="Q5" s="95">
        <f t="shared" si="2"/>
        <v>408</v>
      </c>
      <c r="R5" s="95">
        <f t="shared" si="0"/>
        <v>612</v>
      </c>
      <c r="S5" s="95">
        <f t="shared" si="0"/>
        <v>612</v>
      </c>
      <c r="T5" s="95">
        <f t="shared" si="0"/>
        <v>612</v>
      </c>
      <c r="U5" s="95">
        <f t="shared" si="0"/>
        <v>612</v>
      </c>
      <c r="V5" s="95">
        <f t="shared" si="0"/>
        <v>612</v>
      </c>
      <c r="W5" s="95">
        <f t="shared" si="0"/>
        <v>612</v>
      </c>
      <c r="X5" s="95">
        <f t="shared" si="0"/>
        <v>612</v>
      </c>
      <c r="Y5" s="95">
        <f t="shared" si="0"/>
        <v>612</v>
      </c>
      <c r="Z5" s="95">
        <f t="shared" si="0"/>
        <v>612</v>
      </c>
      <c r="AA5" s="93">
        <f t="shared" si="3"/>
        <v>6716</v>
      </c>
    </row>
    <row r="6" spans="1:27" x14ac:dyDescent="0.35">
      <c r="A6" s="6" t="s">
        <v>8</v>
      </c>
      <c r="B6" s="95">
        <v>550</v>
      </c>
      <c r="C6" s="95">
        <v>550</v>
      </c>
      <c r="D6" s="95">
        <v>550</v>
      </c>
      <c r="E6" s="95">
        <v>700</v>
      </c>
      <c r="F6" s="95">
        <v>700</v>
      </c>
      <c r="G6" s="95">
        <v>700</v>
      </c>
      <c r="H6" s="95">
        <v>700</v>
      </c>
      <c r="I6" s="95">
        <v>700</v>
      </c>
      <c r="J6" s="95">
        <v>700</v>
      </c>
      <c r="K6" s="95">
        <v>700</v>
      </c>
      <c r="L6" s="95">
        <v>700</v>
      </c>
      <c r="M6" s="95">
        <v>700</v>
      </c>
      <c r="N6" s="93">
        <f t="shared" si="1"/>
        <v>7950</v>
      </c>
      <c r="O6" s="95">
        <v>550</v>
      </c>
      <c r="P6" s="95">
        <v>550</v>
      </c>
      <c r="Q6" s="95">
        <f t="shared" si="2"/>
        <v>561</v>
      </c>
      <c r="R6" s="95">
        <f t="shared" si="0"/>
        <v>714</v>
      </c>
      <c r="S6" s="95">
        <f t="shared" si="0"/>
        <v>714</v>
      </c>
      <c r="T6" s="95">
        <f t="shared" si="0"/>
        <v>714</v>
      </c>
      <c r="U6" s="95">
        <f t="shared" si="0"/>
        <v>714</v>
      </c>
      <c r="V6" s="95">
        <f t="shared" si="0"/>
        <v>714</v>
      </c>
      <c r="W6" s="95">
        <f t="shared" si="0"/>
        <v>714</v>
      </c>
      <c r="X6" s="95">
        <f t="shared" si="0"/>
        <v>714</v>
      </c>
      <c r="Y6" s="95">
        <f t="shared" si="0"/>
        <v>714</v>
      </c>
      <c r="Z6" s="95">
        <f t="shared" si="0"/>
        <v>714</v>
      </c>
      <c r="AA6" s="93">
        <f t="shared" si="3"/>
        <v>8087</v>
      </c>
    </row>
    <row r="7" spans="1:27" x14ac:dyDescent="0.35">
      <c r="A7" s="6" t="s">
        <v>9</v>
      </c>
      <c r="B7" s="95">
        <v>4000</v>
      </c>
      <c r="C7" s="95">
        <v>4000</v>
      </c>
      <c r="D7" s="95">
        <v>6000</v>
      </c>
      <c r="E7" s="95">
        <v>6000</v>
      </c>
      <c r="F7" s="95">
        <v>6000</v>
      </c>
      <c r="G7" s="95">
        <v>6000</v>
      </c>
      <c r="H7" s="95">
        <v>6500</v>
      </c>
      <c r="I7" s="95">
        <v>6500</v>
      </c>
      <c r="J7" s="95">
        <v>6500</v>
      </c>
      <c r="K7" s="95">
        <v>6500</v>
      </c>
      <c r="L7" s="95">
        <v>6500</v>
      </c>
      <c r="M7" s="95">
        <v>6500</v>
      </c>
      <c r="N7" s="93">
        <f t="shared" si="1"/>
        <v>71000</v>
      </c>
      <c r="O7" s="95">
        <v>4000</v>
      </c>
      <c r="P7" s="95">
        <v>4000</v>
      </c>
      <c r="Q7" s="95">
        <f t="shared" si="2"/>
        <v>6120</v>
      </c>
      <c r="R7" s="95">
        <f t="shared" si="0"/>
        <v>6120</v>
      </c>
      <c r="S7" s="95">
        <f t="shared" si="0"/>
        <v>6120</v>
      </c>
      <c r="T7" s="95">
        <f t="shared" si="0"/>
        <v>6120</v>
      </c>
      <c r="U7" s="95">
        <f t="shared" si="0"/>
        <v>6630</v>
      </c>
      <c r="V7" s="95">
        <f t="shared" si="0"/>
        <v>6630</v>
      </c>
      <c r="W7" s="95">
        <f t="shared" si="0"/>
        <v>6630</v>
      </c>
      <c r="X7" s="95">
        <f t="shared" si="0"/>
        <v>6630</v>
      </c>
      <c r="Y7" s="95">
        <f t="shared" si="0"/>
        <v>6630</v>
      </c>
      <c r="Z7" s="95">
        <f t="shared" si="0"/>
        <v>6630</v>
      </c>
      <c r="AA7" s="93">
        <f t="shared" si="3"/>
        <v>72260</v>
      </c>
    </row>
    <row r="8" spans="1:27" x14ac:dyDescent="0.35">
      <c r="A8" s="6" t="s">
        <v>11</v>
      </c>
      <c r="B8" s="95">
        <v>125</v>
      </c>
      <c r="C8" s="95">
        <v>140</v>
      </c>
      <c r="D8" s="95">
        <v>125</v>
      </c>
      <c r="E8" s="95">
        <v>200</v>
      </c>
      <c r="F8" s="95">
        <v>200</v>
      </c>
      <c r="G8" s="95">
        <v>200</v>
      </c>
      <c r="H8" s="95">
        <v>200</v>
      </c>
      <c r="I8" s="95">
        <v>200</v>
      </c>
      <c r="J8" s="95">
        <v>200</v>
      </c>
      <c r="K8" s="95">
        <v>200</v>
      </c>
      <c r="L8" s="95">
        <v>200</v>
      </c>
      <c r="M8" s="95">
        <v>200</v>
      </c>
      <c r="N8" s="93">
        <f t="shared" si="1"/>
        <v>2190</v>
      </c>
      <c r="O8" s="95">
        <v>125</v>
      </c>
      <c r="P8" s="95">
        <v>140</v>
      </c>
      <c r="Q8" s="95">
        <f t="shared" si="2"/>
        <v>127.5</v>
      </c>
      <c r="R8" s="95">
        <f t="shared" si="0"/>
        <v>204</v>
      </c>
      <c r="S8" s="95">
        <f t="shared" si="0"/>
        <v>204</v>
      </c>
      <c r="T8" s="95">
        <f t="shared" si="0"/>
        <v>204</v>
      </c>
      <c r="U8" s="95">
        <f t="shared" si="0"/>
        <v>204</v>
      </c>
      <c r="V8" s="95">
        <f t="shared" si="0"/>
        <v>204</v>
      </c>
      <c r="W8" s="95">
        <f t="shared" si="0"/>
        <v>204</v>
      </c>
      <c r="X8" s="95">
        <f t="shared" si="0"/>
        <v>204</v>
      </c>
      <c r="Y8" s="95">
        <f t="shared" si="0"/>
        <v>204</v>
      </c>
      <c r="Z8" s="95">
        <f t="shared" si="0"/>
        <v>204</v>
      </c>
      <c r="AA8" s="93">
        <f t="shared" si="3"/>
        <v>2228.5</v>
      </c>
    </row>
    <row r="9" spans="1:27" x14ac:dyDescent="0.35">
      <c r="A9" s="6" t="s">
        <v>12</v>
      </c>
      <c r="B9" s="95">
        <v>250</v>
      </c>
      <c r="C9" s="95">
        <v>200</v>
      </c>
      <c r="D9" s="95">
        <v>200</v>
      </c>
      <c r="E9" s="95">
        <v>300</v>
      </c>
      <c r="F9" s="95">
        <v>350</v>
      </c>
      <c r="G9" s="95">
        <v>350</v>
      </c>
      <c r="H9" s="95">
        <v>300</v>
      </c>
      <c r="I9" s="95">
        <v>300</v>
      </c>
      <c r="J9" s="95">
        <v>300</v>
      </c>
      <c r="K9" s="95">
        <v>300</v>
      </c>
      <c r="L9" s="95">
        <v>300</v>
      </c>
      <c r="M9" s="95">
        <v>300</v>
      </c>
      <c r="N9" s="93">
        <f t="shared" si="1"/>
        <v>3450</v>
      </c>
      <c r="O9" s="95">
        <v>250</v>
      </c>
      <c r="P9" s="95">
        <v>200</v>
      </c>
      <c r="Q9" s="95">
        <f t="shared" si="2"/>
        <v>204</v>
      </c>
      <c r="R9" s="95">
        <f t="shared" si="0"/>
        <v>306</v>
      </c>
      <c r="S9" s="95">
        <f t="shared" si="0"/>
        <v>357</v>
      </c>
      <c r="T9" s="95">
        <f t="shared" si="0"/>
        <v>357</v>
      </c>
      <c r="U9" s="95">
        <f t="shared" si="0"/>
        <v>306</v>
      </c>
      <c r="V9" s="95">
        <f t="shared" si="0"/>
        <v>306</v>
      </c>
      <c r="W9" s="95">
        <f t="shared" si="0"/>
        <v>306</v>
      </c>
      <c r="X9" s="95">
        <f t="shared" si="0"/>
        <v>306</v>
      </c>
      <c r="Y9" s="95">
        <f t="shared" si="0"/>
        <v>306</v>
      </c>
      <c r="Z9" s="95">
        <f t="shared" si="0"/>
        <v>306</v>
      </c>
      <c r="AA9" s="93">
        <f t="shared" si="3"/>
        <v>3510</v>
      </c>
    </row>
    <row r="10" spans="1:27" x14ac:dyDescent="0.35">
      <c r="A10" s="6" t="s">
        <v>13</v>
      </c>
      <c r="B10" s="95">
        <v>175</v>
      </c>
      <c r="C10" s="95">
        <v>175</v>
      </c>
      <c r="D10" s="95">
        <v>175</v>
      </c>
      <c r="E10" s="95">
        <v>200</v>
      </c>
      <c r="F10" s="95">
        <v>200</v>
      </c>
      <c r="G10" s="95">
        <v>200</v>
      </c>
      <c r="H10" s="95">
        <v>200</v>
      </c>
      <c r="I10" s="95">
        <v>200</v>
      </c>
      <c r="J10" s="95">
        <v>200</v>
      </c>
      <c r="K10" s="95">
        <v>200</v>
      </c>
      <c r="L10" s="95">
        <v>200</v>
      </c>
      <c r="M10" s="95">
        <v>200</v>
      </c>
      <c r="N10" s="93">
        <f t="shared" si="1"/>
        <v>2325</v>
      </c>
      <c r="O10" s="95">
        <v>175</v>
      </c>
      <c r="P10" s="95">
        <v>175</v>
      </c>
      <c r="Q10" s="95">
        <f t="shared" si="2"/>
        <v>178.5</v>
      </c>
      <c r="R10" s="95">
        <f t="shared" si="0"/>
        <v>204</v>
      </c>
      <c r="S10" s="95">
        <f t="shared" si="0"/>
        <v>204</v>
      </c>
      <c r="T10" s="95">
        <f t="shared" si="0"/>
        <v>204</v>
      </c>
      <c r="U10" s="95">
        <f t="shared" si="0"/>
        <v>204</v>
      </c>
      <c r="V10" s="95">
        <f t="shared" si="0"/>
        <v>204</v>
      </c>
      <c r="W10" s="95">
        <f t="shared" si="0"/>
        <v>204</v>
      </c>
      <c r="X10" s="95">
        <f t="shared" si="0"/>
        <v>204</v>
      </c>
      <c r="Y10" s="95">
        <f t="shared" si="0"/>
        <v>204</v>
      </c>
      <c r="Z10" s="95">
        <f t="shared" si="0"/>
        <v>204</v>
      </c>
      <c r="AA10" s="93">
        <f t="shared" si="3"/>
        <v>2364.5</v>
      </c>
    </row>
    <row r="11" spans="1:27" x14ac:dyDescent="0.35">
      <c r="A11" s="6" t="s">
        <v>14</v>
      </c>
      <c r="B11" s="95">
        <v>5500</v>
      </c>
      <c r="C11" s="95">
        <v>5000</v>
      </c>
      <c r="D11" s="95">
        <v>5000</v>
      </c>
      <c r="E11" s="95">
        <v>6000</v>
      </c>
      <c r="F11" s="95">
        <v>6000</v>
      </c>
      <c r="G11" s="95">
        <v>6000</v>
      </c>
      <c r="H11" s="95">
        <v>6000</v>
      </c>
      <c r="I11" s="95">
        <v>6000</v>
      </c>
      <c r="J11" s="95">
        <v>6000</v>
      </c>
      <c r="K11" s="95">
        <v>6000</v>
      </c>
      <c r="L11" s="95">
        <v>6000</v>
      </c>
      <c r="M11" s="95">
        <v>6000</v>
      </c>
      <c r="N11" s="93">
        <f t="shared" si="1"/>
        <v>69500</v>
      </c>
      <c r="O11" s="95">
        <v>5500</v>
      </c>
      <c r="P11" s="95">
        <v>5000</v>
      </c>
      <c r="Q11" s="95">
        <f t="shared" si="2"/>
        <v>5100</v>
      </c>
      <c r="R11" s="95">
        <f t="shared" si="0"/>
        <v>6120</v>
      </c>
      <c r="S11" s="95">
        <f t="shared" si="0"/>
        <v>6120</v>
      </c>
      <c r="T11" s="95">
        <f t="shared" si="0"/>
        <v>6120</v>
      </c>
      <c r="U11" s="95">
        <f t="shared" si="0"/>
        <v>6120</v>
      </c>
      <c r="V11" s="95">
        <f t="shared" si="0"/>
        <v>6120</v>
      </c>
      <c r="W11" s="95">
        <f t="shared" si="0"/>
        <v>6120</v>
      </c>
      <c r="X11" s="95">
        <f t="shared" si="0"/>
        <v>6120</v>
      </c>
      <c r="Y11" s="95">
        <f t="shared" si="0"/>
        <v>6120</v>
      </c>
      <c r="Z11" s="95">
        <f t="shared" si="0"/>
        <v>6120</v>
      </c>
      <c r="AA11" s="93">
        <f t="shared" si="3"/>
        <v>70680</v>
      </c>
    </row>
    <row r="12" spans="1:27" x14ac:dyDescent="0.35">
      <c r="A12" s="6" t="s">
        <v>15</v>
      </c>
      <c r="B12" s="95">
        <v>200</v>
      </c>
      <c r="C12" s="95">
        <v>200</v>
      </c>
      <c r="D12" s="95">
        <v>200</v>
      </c>
      <c r="E12" s="95">
        <v>300</v>
      </c>
      <c r="F12" s="95">
        <v>300</v>
      </c>
      <c r="G12" s="95">
        <v>300</v>
      </c>
      <c r="H12" s="95">
        <v>300</v>
      </c>
      <c r="I12" s="95">
        <v>300</v>
      </c>
      <c r="J12" s="95">
        <v>300</v>
      </c>
      <c r="K12" s="95">
        <v>300</v>
      </c>
      <c r="L12" s="95">
        <v>300</v>
      </c>
      <c r="M12" s="95">
        <v>300</v>
      </c>
      <c r="N12" s="93">
        <f t="shared" si="1"/>
        <v>3300</v>
      </c>
      <c r="O12" s="95">
        <v>200</v>
      </c>
      <c r="P12" s="95">
        <v>200</v>
      </c>
      <c r="Q12" s="95">
        <f t="shared" si="2"/>
        <v>204</v>
      </c>
      <c r="R12" s="95">
        <f t="shared" si="0"/>
        <v>306</v>
      </c>
      <c r="S12" s="95">
        <f t="shared" si="0"/>
        <v>306</v>
      </c>
      <c r="T12" s="95">
        <f t="shared" si="0"/>
        <v>306</v>
      </c>
      <c r="U12" s="95">
        <f t="shared" si="0"/>
        <v>306</v>
      </c>
      <c r="V12" s="95">
        <f t="shared" si="0"/>
        <v>306</v>
      </c>
      <c r="W12" s="95">
        <f t="shared" si="0"/>
        <v>306</v>
      </c>
      <c r="X12" s="95">
        <f t="shared" si="0"/>
        <v>306</v>
      </c>
      <c r="Y12" s="95">
        <f t="shared" si="0"/>
        <v>306</v>
      </c>
      <c r="Z12" s="95">
        <f t="shared" si="0"/>
        <v>306</v>
      </c>
      <c r="AA12" s="93">
        <f t="shared" si="3"/>
        <v>3358</v>
      </c>
    </row>
    <row r="13" spans="1:27" x14ac:dyDescent="0.35">
      <c r="A13" s="2" t="s">
        <v>17</v>
      </c>
      <c r="B13" s="96" t="s">
        <v>19</v>
      </c>
      <c r="C13" s="96" t="s">
        <v>19</v>
      </c>
      <c r="D13" s="96" t="s">
        <v>20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3">
        <f t="shared" si="1"/>
        <v>0</v>
      </c>
      <c r="O13" s="96">
        <v>0</v>
      </c>
      <c r="P13" s="96">
        <v>0</v>
      </c>
      <c r="Q13" s="95">
        <v>0</v>
      </c>
      <c r="R13" s="95">
        <f t="shared" si="0"/>
        <v>0</v>
      </c>
      <c r="S13" s="95">
        <f t="shared" si="0"/>
        <v>0</v>
      </c>
      <c r="T13" s="95">
        <f t="shared" si="0"/>
        <v>0</v>
      </c>
      <c r="U13" s="95">
        <f t="shared" si="0"/>
        <v>0</v>
      </c>
      <c r="V13" s="95">
        <f t="shared" si="0"/>
        <v>0</v>
      </c>
      <c r="W13" s="95">
        <f t="shared" si="0"/>
        <v>0</v>
      </c>
      <c r="X13" s="95">
        <f t="shared" si="0"/>
        <v>0</v>
      </c>
      <c r="Y13" s="95">
        <f t="shared" si="0"/>
        <v>0</v>
      </c>
      <c r="Z13" s="95">
        <f t="shared" si="0"/>
        <v>0</v>
      </c>
      <c r="AA13" s="93">
        <f t="shared" si="3"/>
        <v>0</v>
      </c>
    </row>
    <row r="14" spans="1:27" x14ac:dyDescent="0.35">
      <c r="A14" s="6" t="s">
        <v>21</v>
      </c>
      <c r="B14" s="95">
        <v>150</v>
      </c>
      <c r="C14" s="95">
        <v>75</v>
      </c>
      <c r="D14" s="95">
        <v>50</v>
      </c>
      <c r="E14" s="95">
        <v>50</v>
      </c>
      <c r="F14" s="95">
        <v>50</v>
      </c>
      <c r="G14" s="95">
        <v>60</v>
      </c>
      <c r="H14" s="95">
        <v>60</v>
      </c>
      <c r="I14" s="95">
        <v>60</v>
      </c>
      <c r="J14" s="95">
        <v>30</v>
      </c>
      <c r="K14" s="95">
        <v>30</v>
      </c>
      <c r="L14" s="95">
        <v>30</v>
      </c>
      <c r="M14" s="95">
        <v>30</v>
      </c>
      <c r="N14" s="93">
        <f t="shared" si="1"/>
        <v>675</v>
      </c>
      <c r="O14" s="95">
        <v>150</v>
      </c>
      <c r="P14" s="95">
        <v>75</v>
      </c>
      <c r="Q14" s="95">
        <f t="shared" si="2"/>
        <v>51</v>
      </c>
      <c r="R14" s="95">
        <f t="shared" si="0"/>
        <v>51</v>
      </c>
      <c r="S14" s="95">
        <f t="shared" si="0"/>
        <v>51</v>
      </c>
      <c r="T14" s="95">
        <f t="shared" si="0"/>
        <v>61.2</v>
      </c>
      <c r="U14" s="95">
        <f t="shared" si="0"/>
        <v>61.2</v>
      </c>
      <c r="V14" s="95">
        <f t="shared" si="0"/>
        <v>61.2</v>
      </c>
      <c r="W14" s="95">
        <f t="shared" si="0"/>
        <v>30.6</v>
      </c>
      <c r="X14" s="95">
        <f t="shared" si="0"/>
        <v>30.6</v>
      </c>
      <c r="Y14" s="95">
        <f t="shared" si="0"/>
        <v>30.6</v>
      </c>
      <c r="Z14" s="95">
        <f t="shared" si="0"/>
        <v>30.6</v>
      </c>
      <c r="AA14" s="93">
        <f t="shared" si="3"/>
        <v>684.00000000000011</v>
      </c>
    </row>
    <row r="15" spans="1:27" x14ac:dyDescent="0.35">
      <c r="A15" s="2" t="s">
        <v>22</v>
      </c>
      <c r="B15" s="96" t="s">
        <v>19</v>
      </c>
      <c r="C15" s="96" t="s">
        <v>19</v>
      </c>
      <c r="D15" s="96" t="s">
        <v>20</v>
      </c>
      <c r="E15" s="96">
        <v>0</v>
      </c>
      <c r="F15" s="96">
        <v>0</v>
      </c>
      <c r="G15" s="96">
        <v>0</v>
      </c>
      <c r="H15" s="96">
        <v>0</v>
      </c>
      <c r="I15" s="96">
        <v>0</v>
      </c>
      <c r="J15" s="96">
        <v>0</v>
      </c>
      <c r="K15" s="96">
        <v>0</v>
      </c>
      <c r="L15" s="96">
        <v>0</v>
      </c>
      <c r="M15" s="96">
        <v>0</v>
      </c>
      <c r="N15" s="93">
        <f t="shared" si="1"/>
        <v>0</v>
      </c>
      <c r="O15" s="96">
        <v>0</v>
      </c>
      <c r="P15" s="96">
        <v>0</v>
      </c>
      <c r="Q15" s="95">
        <v>0</v>
      </c>
      <c r="R15" s="95">
        <f t="shared" si="0"/>
        <v>0</v>
      </c>
      <c r="S15" s="95">
        <f t="shared" si="0"/>
        <v>0</v>
      </c>
      <c r="T15" s="95">
        <f t="shared" si="0"/>
        <v>0</v>
      </c>
      <c r="U15" s="95">
        <f t="shared" si="0"/>
        <v>0</v>
      </c>
      <c r="V15" s="95">
        <f t="shared" si="0"/>
        <v>0</v>
      </c>
      <c r="W15" s="95">
        <f t="shared" si="0"/>
        <v>0</v>
      </c>
      <c r="X15" s="95">
        <f t="shared" si="0"/>
        <v>0</v>
      </c>
      <c r="Y15" s="95">
        <f t="shared" si="0"/>
        <v>0</v>
      </c>
      <c r="Z15" s="95">
        <f t="shared" si="0"/>
        <v>0</v>
      </c>
      <c r="AA15" s="93">
        <f t="shared" si="3"/>
        <v>0</v>
      </c>
    </row>
    <row r="16" spans="1:27" x14ac:dyDescent="0.35">
      <c r="A16" s="6" t="s">
        <v>23</v>
      </c>
      <c r="B16" s="95">
        <v>230</v>
      </c>
      <c r="C16" s="95">
        <v>230</v>
      </c>
      <c r="D16" s="95">
        <v>230</v>
      </c>
      <c r="E16" s="95">
        <v>300</v>
      </c>
      <c r="F16" s="95">
        <v>250</v>
      </c>
      <c r="G16" s="95">
        <v>250</v>
      </c>
      <c r="H16" s="95">
        <v>250</v>
      </c>
      <c r="I16" s="95">
        <v>250</v>
      </c>
      <c r="J16" s="95">
        <v>250</v>
      </c>
      <c r="K16" s="95">
        <v>250</v>
      </c>
      <c r="L16" s="95">
        <v>250</v>
      </c>
      <c r="M16" s="95">
        <v>250</v>
      </c>
      <c r="N16" s="93">
        <f t="shared" si="1"/>
        <v>2990</v>
      </c>
      <c r="O16" s="95">
        <v>230</v>
      </c>
      <c r="P16" s="95">
        <v>230</v>
      </c>
      <c r="Q16" s="95">
        <f t="shared" si="2"/>
        <v>234.6</v>
      </c>
      <c r="R16" s="95">
        <f t="shared" si="0"/>
        <v>306</v>
      </c>
      <c r="S16" s="95">
        <f t="shared" si="0"/>
        <v>255</v>
      </c>
      <c r="T16" s="95">
        <f t="shared" si="0"/>
        <v>255</v>
      </c>
      <c r="U16" s="95">
        <f t="shared" si="0"/>
        <v>255</v>
      </c>
      <c r="V16" s="95">
        <f t="shared" si="0"/>
        <v>255</v>
      </c>
      <c r="W16" s="95">
        <f t="shared" si="0"/>
        <v>255</v>
      </c>
      <c r="X16" s="95">
        <f t="shared" si="0"/>
        <v>255</v>
      </c>
      <c r="Y16" s="95">
        <f t="shared" si="0"/>
        <v>255</v>
      </c>
      <c r="Z16" s="95">
        <f t="shared" si="0"/>
        <v>255</v>
      </c>
      <c r="AA16" s="93">
        <f t="shared" si="3"/>
        <v>3040.6</v>
      </c>
    </row>
    <row r="17" spans="1:28" x14ac:dyDescent="0.35">
      <c r="A17" s="6" t="s">
        <v>24</v>
      </c>
      <c r="B17" s="95">
        <v>400</v>
      </c>
      <c r="C17" s="95">
        <v>400</v>
      </c>
      <c r="D17" s="95">
        <v>400</v>
      </c>
      <c r="E17" s="95">
        <v>450</v>
      </c>
      <c r="F17" s="95">
        <v>450</v>
      </c>
      <c r="G17" s="95">
        <v>450</v>
      </c>
      <c r="H17" s="95">
        <v>500</v>
      </c>
      <c r="I17" s="95">
        <v>500</v>
      </c>
      <c r="J17" s="95">
        <v>500</v>
      </c>
      <c r="K17" s="95">
        <v>500</v>
      </c>
      <c r="L17" s="95">
        <v>500</v>
      </c>
      <c r="M17" s="95">
        <v>500</v>
      </c>
      <c r="N17" s="93">
        <f t="shared" si="1"/>
        <v>5550</v>
      </c>
      <c r="O17" s="95">
        <v>400</v>
      </c>
      <c r="P17" s="95">
        <v>400</v>
      </c>
      <c r="Q17" s="95">
        <f t="shared" si="2"/>
        <v>408</v>
      </c>
      <c r="R17" s="95">
        <f t="shared" si="0"/>
        <v>459</v>
      </c>
      <c r="S17" s="95">
        <f t="shared" si="0"/>
        <v>459</v>
      </c>
      <c r="T17" s="95">
        <f t="shared" si="0"/>
        <v>459</v>
      </c>
      <c r="U17" s="95">
        <f t="shared" si="0"/>
        <v>510</v>
      </c>
      <c r="V17" s="95">
        <f t="shared" si="0"/>
        <v>510</v>
      </c>
      <c r="W17" s="95">
        <f t="shared" si="0"/>
        <v>510</v>
      </c>
      <c r="X17" s="95">
        <f t="shared" si="0"/>
        <v>510</v>
      </c>
      <c r="Y17" s="95">
        <f t="shared" si="0"/>
        <v>510</v>
      </c>
      <c r="Z17" s="95">
        <f t="shared" si="0"/>
        <v>510</v>
      </c>
      <c r="AA17" s="93">
        <f t="shared" si="3"/>
        <v>5645</v>
      </c>
    </row>
    <row r="18" spans="1:28" x14ac:dyDescent="0.35">
      <c r="A18" s="6" t="s">
        <v>25</v>
      </c>
      <c r="B18" s="95">
        <v>175</v>
      </c>
      <c r="C18" s="95">
        <v>100</v>
      </c>
      <c r="D18" s="95">
        <v>100</v>
      </c>
      <c r="E18" s="95">
        <v>100</v>
      </c>
      <c r="F18" s="95">
        <v>100</v>
      </c>
      <c r="G18" s="95">
        <v>80</v>
      </c>
      <c r="H18" s="95">
        <v>100</v>
      </c>
      <c r="I18" s="95">
        <v>100</v>
      </c>
      <c r="J18" s="95">
        <v>100</v>
      </c>
      <c r="K18" s="95">
        <v>100</v>
      </c>
      <c r="L18" s="95">
        <v>100</v>
      </c>
      <c r="M18" s="95">
        <v>100</v>
      </c>
      <c r="N18" s="93">
        <f t="shared" si="1"/>
        <v>1255</v>
      </c>
      <c r="O18" s="97">
        <v>200</v>
      </c>
      <c r="P18" s="97">
        <v>150</v>
      </c>
      <c r="Q18" s="95">
        <f t="shared" si="2"/>
        <v>102</v>
      </c>
      <c r="R18" s="95">
        <f t="shared" si="0"/>
        <v>102</v>
      </c>
      <c r="S18" s="95">
        <f t="shared" si="0"/>
        <v>102</v>
      </c>
      <c r="T18" s="95">
        <f t="shared" si="0"/>
        <v>81.599999999999994</v>
      </c>
      <c r="U18" s="95">
        <f t="shared" si="0"/>
        <v>102</v>
      </c>
      <c r="V18" s="95">
        <f t="shared" si="0"/>
        <v>102</v>
      </c>
      <c r="W18" s="95">
        <f t="shared" si="0"/>
        <v>102</v>
      </c>
      <c r="X18" s="95">
        <f t="shared" si="0"/>
        <v>102</v>
      </c>
      <c r="Y18" s="95">
        <f t="shared" si="0"/>
        <v>102</v>
      </c>
      <c r="Z18" s="95">
        <f t="shared" si="0"/>
        <v>102</v>
      </c>
      <c r="AA18" s="93">
        <f t="shared" si="3"/>
        <v>1349.6</v>
      </c>
    </row>
    <row r="19" spans="1:28" x14ac:dyDescent="0.35">
      <c r="A19" s="6" t="s">
        <v>26</v>
      </c>
      <c r="B19" s="95">
        <v>20</v>
      </c>
      <c r="C19" s="95">
        <v>20</v>
      </c>
      <c r="D19" s="95">
        <v>40</v>
      </c>
      <c r="E19" s="95">
        <v>40</v>
      </c>
      <c r="F19" s="95">
        <v>40</v>
      </c>
      <c r="G19" s="95">
        <v>40</v>
      </c>
      <c r="H19" s="95">
        <v>40</v>
      </c>
      <c r="I19" s="95">
        <v>40</v>
      </c>
      <c r="J19" s="95">
        <v>40</v>
      </c>
      <c r="K19" s="95">
        <v>30</v>
      </c>
      <c r="L19" s="95">
        <v>30</v>
      </c>
      <c r="M19" s="95">
        <v>30</v>
      </c>
      <c r="N19" s="93">
        <f t="shared" si="1"/>
        <v>410</v>
      </c>
      <c r="O19" s="95">
        <v>20</v>
      </c>
      <c r="P19" s="95">
        <v>20</v>
      </c>
      <c r="Q19" s="95">
        <f t="shared" si="2"/>
        <v>40.799999999999997</v>
      </c>
      <c r="R19" s="95">
        <f t="shared" si="2"/>
        <v>40.799999999999997</v>
      </c>
      <c r="S19" s="95">
        <f t="shared" si="2"/>
        <v>40.799999999999997</v>
      </c>
      <c r="T19" s="95">
        <f t="shared" si="2"/>
        <v>40.799999999999997</v>
      </c>
      <c r="U19" s="95">
        <f t="shared" si="2"/>
        <v>40.799999999999997</v>
      </c>
      <c r="V19" s="95">
        <f t="shared" si="2"/>
        <v>40.799999999999997</v>
      </c>
      <c r="W19" s="95">
        <f t="shared" si="2"/>
        <v>40.799999999999997</v>
      </c>
      <c r="X19" s="95">
        <f t="shared" si="2"/>
        <v>30.6</v>
      </c>
      <c r="Y19" s="95">
        <f t="shared" si="2"/>
        <v>30.6</v>
      </c>
      <c r="Z19" s="95">
        <f t="shared" si="2"/>
        <v>30.6</v>
      </c>
      <c r="AA19" s="93">
        <f t="shared" si="3"/>
        <v>417.40000000000009</v>
      </c>
    </row>
    <row r="20" spans="1:28" x14ac:dyDescent="0.35">
      <c r="A20" s="6" t="s">
        <v>27</v>
      </c>
      <c r="B20" s="95">
        <v>250</v>
      </c>
      <c r="C20" s="95">
        <v>250</v>
      </c>
      <c r="D20" s="95">
        <v>300</v>
      </c>
      <c r="E20" s="95">
        <v>300</v>
      </c>
      <c r="F20" s="95">
        <v>350</v>
      </c>
      <c r="G20" s="95">
        <v>400</v>
      </c>
      <c r="H20" s="95">
        <v>400</v>
      </c>
      <c r="I20" s="95">
        <v>400</v>
      </c>
      <c r="J20" s="95">
        <v>400</v>
      </c>
      <c r="K20" s="95">
        <v>400</v>
      </c>
      <c r="L20" s="95">
        <v>400</v>
      </c>
      <c r="M20" s="95">
        <v>400</v>
      </c>
      <c r="N20" s="93">
        <f t="shared" si="1"/>
        <v>4250</v>
      </c>
      <c r="O20" s="95">
        <v>250</v>
      </c>
      <c r="P20" s="95">
        <v>250</v>
      </c>
      <c r="Q20" s="95">
        <f t="shared" si="2"/>
        <v>306</v>
      </c>
      <c r="R20" s="95">
        <f t="shared" si="2"/>
        <v>306</v>
      </c>
      <c r="S20" s="95">
        <f t="shared" si="2"/>
        <v>357</v>
      </c>
      <c r="T20" s="95">
        <f t="shared" si="2"/>
        <v>408</v>
      </c>
      <c r="U20" s="95">
        <f t="shared" si="2"/>
        <v>408</v>
      </c>
      <c r="V20" s="95">
        <f t="shared" si="2"/>
        <v>408</v>
      </c>
      <c r="W20" s="95">
        <f t="shared" si="2"/>
        <v>408</v>
      </c>
      <c r="X20" s="95">
        <f t="shared" si="2"/>
        <v>408</v>
      </c>
      <c r="Y20" s="95">
        <f t="shared" si="2"/>
        <v>408</v>
      </c>
      <c r="Z20" s="95">
        <f t="shared" si="2"/>
        <v>408</v>
      </c>
      <c r="AA20" s="93">
        <f t="shared" si="3"/>
        <v>4325</v>
      </c>
      <c r="AB20" s="98">
        <f>5400/6</f>
        <v>900</v>
      </c>
    </row>
    <row r="21" spans="1:28" x14ac:dyDescent="0.35">
      <c r="A21" s="6" t="s">
        <v>28</v>
      </c>
      <c r="B21" s="95">
        <v>30</v>
      </c>
      <c r="C21" s="95">
        <v>30</v>
      </c>
      <c r="D21" s="95">
        <v>200</v>
      </c>
      <c r="E21" s="95">
        <v>50</v>
      </c>
      <c r="F21" s="95">
        <v>50</v>
      </c>
      <c r="G21" s="95">
        <v>70</v>
      </c>
      <c r="H21" s="95">
        <v>70</v>
      </c>
      <c r="I21" s="95">
        <v>70</v>
      </c>
      <c r="J21" s="95">
        <v>70</v>
      </c>
      <c r="K21" s="95">
        <v>50</v>
      </c>
      <c r="L21" s="95">
        <v>50</v>
      </c>
      <c r="M21" s="95">
        <v>50</v>
      </c>
      <c r="N21" s="93">
        <f t="shared" si="1"/>
        <v>790</v>
      </c>
      <c r="O21" s="95">
        <v>30</v>
      </c>
      <c r="P21" s="95">
        <v>30</v>
      </c>
      <c r="Q21" s="95">
        <f t="shared" si="2"/>
        <v>204</v>
      </c>
      <c r="R21" s="95">
        <f t="shared" si="2"/>
        <v>51</v>
      </c>
      <c r="S21" s="95">
        <f t="shared" si="2"/>
        <v>51</v>
      </c>
      <c r="T21" s="95">
        <f t="shared" si="2"/>
        <v>71.400000000000006</v>
      </c>
      <c r="U21" s="95">
        <f t="shared" si="2"/>
        <v>71.400000000000006</v>
      </c>
      <c r="V21" s="95">
        <f t="shared" si="2"/>
        <v>71.400000000000006</v>
      </c>
      <c r="W21" s="95">
        <f t="shared" si="2"/>
        <v>71.400000000000006</v>
      </c>
      <c r="X21" s="95">
        <f t="shared" si="2"/>
        <v>51</v>
      </c>
      <c r="Y21" s="95">
        <f t="shared" si="2"/>
        <v>51</v>
      </c>
      <c r="Z21" s="95">
        <f t="shared" si="2"/>
        <v>51</v>
      </c>
      <c r="AA21" s="93">
        <f t="shared" si="3"/>
        <v>804.59999999999991</v>
      </c>
    </row>
    <row r="22" spans="1:28" x14ac:dyDescent="0.35">
      <c r="A22" s="6" t="s">
        <v>29</v>
      </c>
      <c r="B22" s="95">
        <v>400</v>
      </c>
      <c r="C22" s="95">
        <v>300</v>
      </c>
      <c r="D22" s="95">
        <v>300</v>
      </c>
      <c r="E22" s="95">
        <v>450</v>
      </c>
      <c r="F22" s="95">
        <v>500</v>
      </c>
      <c r="G22" s="95">
        <v>500</v>
      </c>
      <c r="H22" s="95">
        <v>500</v>
      </c>
      <c r="I22" s="95">
        <v>500</v>
      </c>
      <c r="J22" s="95">
        <v>400</v>
      </c>
      <c r="K22" s="95">
        <v>350</v>
      </c>
      <c r="L22" s="95">
        <v>350</v>
      </c>
      <c r="M22" s="95">
        <v>350</v>
      </c>
      <c r="N22" s="93">
        <f t="shared" si="1"/>
        <v>4900</v>
      </c>
      <c r="O22" s="95">
        <v>400</v>
      </c>
      <c r="P22" s="95">
        <v>300</v>
      </c>
      <c r="Q22" s="95">
        <f t="shared" si="2"/>
        <v>306</v>
      </c>
      <c r="R22" s="95">
        <f t="shared" si="2"/>
        <v>459</v>
      </c>
      <c r="S22" s="95">
        <f t="shared" si="2"/>
        <v>510</v>
      </c>
      <c r="T22" s="95">
        <f t="shared" si="2"/>
        <v>510</v>
      </c>
      <c r="U22" s="95">
        <f t="shared" si="2"/>
        <v>510</v>
      </c>
      <c r="V22" s="95">
        <f t="shared" si="2"/>
        <v>510</v>
      </c>
      <c r="W22" s="95">
        <f t="shared" si="2"/>
        <v>408</v>
      </c>
      <c r="X22" s="95">
        <f t="shared" si="2"/>
        <v>357</v>
      </c>
      <c r="Y22" s="95">
        <f t="shared" si="2"/>
        <v>357</v>
      </c>
      <c r="Z22" s="95">
        <f t="shared" si="2"/>
        <v>357</v>
      </c>
      <c r="AA22" s="93">
        <f t="shared" si="3"/>
        <v>4984</v>
      </c>
      <c r="AB22" s="98">
        <f>AB20*35%</f>
        <v>315</v>
      </c>
    </row>
    <row r="23" spans="1:28" x14ac:dyDescent="0.35">
      <c r="A23" s="6" t="s">
        <v>30</v>
      </c>
      <c r="B23" s="95">
        <v>7500</v>
      </c>
      <c r="C23" s="95">
        <v>9000</v>
      </c>
      <c r="D23" s="95">
        <v>9000</v>
      </c>
      <c r="E23" s="95">
        <v>9000</v>
      </c>
      <c r="F23" s="95">
        <v>9000</v>
      </c>
      <c r="G23" s="95">
        <v>9000</v>
      </c>
      <c r="H23" s="95">
        <v>9000</v>
      </c>
      <c r="I23" s="95">
        <v>9000</v>
      </c>
      <c r="J23" s="95">
        <v>9000</v>
      </c>
      <c r="K23" s="95">
        <v>9000</v>
      </c>
      <c r="L23" s="95">
        <v>9000</v>
      </c>
      <c r="M23" s="95">
        <v>9000</v>
      </c>
      <c r="N23" s="93">
        <f t="shared" si="1"/>
        <v>106500</v>
      </c>
      <c r="O23" s="95">
        <v>7500</v>
      </c>
      <c r="P23" s="95">
        <v>8000</v>
      </c>
      <c r="Q23" s="95">
        <f t="shared" si="2"/>
        <v>9180</v>
      </c>
      <c r="R23" s="95">
        <f t="shared" si="2"/>
        <v>9180</v>
      </c>
      <c r="S23" s="95">
        <f t="shared" si="2"/>
        <v>9180</v>
      </c>
      <c r="T23" s="95">
        <f t="shared" si="2"/>
        <v>9180</v>
      </c>
      <c r="U23" s="95">
        <f t="shared" si="2"/>
        <v>9180</v>
      </c>
      <c r="V23" s="95">
        <f t="shared" si="2"/>
        <v>9180</v>
      </c>
      <c r="W23" s="95">
        <f t="shared" si="2"/>
        <v>9180</v>
      </c>
      <c r="X23" s="95">
        <f t="shared" si="2"/>
        <v>9180</v>
      </c>
      <c r="Y23" s="95">
        <f t="shared" si="2"/>
        <v>9180</v>
      </c>
      <c r="Z23" s="95">
        <f t="shared" si="2"/>
        <v>9180</v>
      </c>
      <c r="AA23" s="93">
        <f t="shared" si="3"/>
        <v>107300</v>
      </c>
    </row>
    <row r="24" spans="1:28" x14ac:dyDescent="0.35">
      <c r="A24" s="99" t="s">
        <v>69</v>
      </c>
      <c r="B24" s="100"/>
      <c r="C24" s="100"/>
      <c r="D24" s="100"/>
      <c r="E24" s="100"/>
      <c r="F24" s="100">
        <v>800</v>
      </c>
      <c r="G24" s="100">
        <v>300</v>
      </c>
      <c r="H24" s="100">
        <v>300</v>
      </c>
      <c r="I24" s="100">
        <v>300</v>
      </c>
      <c r="J24" s="100">
        <v>300</v>
      </c>
      <c r="K24" s="100">
        <v>300</v>
      </c>
      <c r="L24" s="100">
        <v>300</v>
      </c>
      <c r="M24" s="100">
        <v>300</v>
      </c>
      <c r="N24" s="93">
        <f t="shared" si="1"/>
        <v>2900</v>
      </c>
      <c r="O24" s="100">
        <v>300</v>
      </c>
      <c r="P24" s="100">
        <v>300</v>
      </c>
      <c r="Q24" s="100">
        <v>300</v>
      </c>
      <c r="R24" s="100">
        <v>300</v>
      </c>
      <c r="S24" s="100">
        <v>300</v>
      </c>
      <c r="T24" s="100">
        <v>300</v>
      </c>
      <c r="U24" s="100">
        <v>300</v>
      </c>
      <c r="V24" s="100">
        <v>300</v>
      </c>
      <c r="W24" s="100">
        <v>300</v>
      </c>
      <c r="X24" s="100">
        <v>300</v>
      </c>
      <c r="Y24" s="100">
        <v>300</v>
      </c>
      <c r="Z24" s="100">
        <v>300</v>
      </c>
      <c r="AA24" s="93">
        <f t="shared" si="3"/>
        <v>3600</v>
      </c>
    </row>
    <row r="25" spans="1:28" x14ac:dyDescent="0.35">
      <c r="A25" s="99" t="s">
        <v>34</v>
      </c>
      <c r="B25" s="100"/>
      <c r="C25" s="100"/>
      <c r="D25" s="100"/>
      <c r="E25" s="100"/>
      <c r="F25" s="100">
        <v>800</v>
      </c>
      <c r="G25" s="100">
        <v>300</v>
      </c>
      <c r="H25" s="100">
        <v>300</v>
      </c>
      <c r="I25" s="100">
        <v>300</v>
      </c>
      <c r="J25" s="100">
        <v>300</v>
      </c>
      <c r="K25" s="100">
        <v>300</v>
      </c>
      <c r="L25" s="100">
        <v>300</v>
      </c>
      <c r="M25" s="100">
        <v>300</v>
      </c>
      <c r="N25" s="93">
        <f t="shared" si="1"/>
        <v>2900</v>
      </c>
      <c r="O25" s="100">
        <v>300</v>
      </c>
      <c r="P25" s="100">
        <v>300</v>
      </c>
      <c r="Q25" s="100">
        <v>300</v>
      </c>
      <c r="R25" s="100">
        <v>300</v>
      </c>
      <c r="S25" s="100">
        <v>300</v>
      </c>
      <c r="T25" s="100">
        <v>300</v>
      </c>
      <c r="U25" s="100">
        <v>300</v>
      </c>
      <c r="V25" s="100">
        <v>300</v>
      </c>
      <c r="W25" s="100">
        <v>300</v>
      </c>
      <c r="X25" s="100">
        <v>300</v>
      </c>
      <c r="Y25" s="100">
        <v>300</v>
      </c>
      <c r="Z25" s="100">
        <v>300</v>
      </c>
      <c r="AA25" s="93">
        <f t="shared" si="3"/>
        <v>3600</v>
      </c>
    </row>
    <row r="26" spans="1:28" x14ac:dyDescent="0.35">
      <c r="A26" s="99" t="s">
        <v>33</v>
      </c>
      <c r="B26" s="100"/>
      <c r="C26" s="100"/>
      <c r="D26" s="100"/>
      <c r="E26" s="100"/>
      <c r="F26" s="100">
        <v>800</v>
      </c>
      <c r="G26" s="100">
        <v>500</v>
      </c>
      <c r="H26" s="100">
        <v>500</v>
      </c>
      <c r="I26" s="100">
        <v>500</v>
      </c>
      <c r="J26" s="100">
        <v>500</v>
      </c>
      <c r="K26" s="100">
        <v>500</v>
      </c>
      <c r="L26" s="100">
        <v>500</v>
      </c>
      <c r="M26" s="100">
        <v>500</v>
      </c>
      <c r="N26" s="93">
        <f t="shared" si="1"/>
        <v>4300</v>
      </c>
      <c r="O26" s="100">
        <v>500</v>
      </c>
      <c r="P26" s="100">
        <v>500</v>
      </c>
      <c r="Q26" s="100">
        <v>500</v>
      </c>
      <c r="R26" s="100">
        <v>500</v>
      </c>
      <c r="S26" s="100">
        <v>500</v>
      </c>
      <c r="T26" s="100">
        <v>500</v>
      </c>
      <c r="U26" s="100">
        <v>500</v>
      </c>
      <c r="V26" s="100">
        <v>500</v>
      </c>
      <c r="W26" s="100">
        <v>500</v>
      </c>
      <c r="X26" s="100">
        <v>500</v>
      </c>
      <c r="Y26" s="100">
        <v>500</v>
      </c>
      <c r="Z26" s="100">
        <v>500</v>
      </c>
      <c r="AA26" s="93">
        <f t="shared" si="3"/>
        <v>6000</v>
      </c>
    </row>
    <row r="27" spans="1:28" x14ac:dyDescent="0.35">
      <c r="A27" s="99" t="s">
        <v>36</v>
      </c>
      <c r="B27" s="100"/>
      <c r="C27" s="100"/>
      <c r="D27" s="100"/>
      <c r="E27" s="100"/>
      <c r="F27" s="100"/>
      <c r="G27" s="100"/>
      <c r="H27" s="100"/>
      <c r="I27" s="100">
        <v>400</v>
      </c>
      <c r="J27" s="100">
        <v>200</v>
      </c>
      <c r="K27" s="100">
        <v>200</v>
      </c>
      <c r="L27" s="100">
        <v>200</v>
      </c>
      <c r="M27" s="100">
        <v>200</v>
      </c>
      <c r="N27" s="93">
        <f t="shared" si="1"/>
        <v>1200</v>
      </c>
      <c r="O27" s="100">
        <v>200</v>
      </c>
      <c r="P27" s="100">
        <v>200</v>
      </c>
      <c r="Q27" s="100">
        <v>200</v>
      </c>
      <c r="R27" s="100">
        <v>200</v>
      </c>
      <c r="S27" s="100">
        <v>200</v>
      </c>
      <c r="T27" s="100">
        <v>200</v>
      </c>
      <c r="U27" s="100">
        <v>200</v>
      </c>
      <c r="V27" s="100">
        <v>200</v>
      </c>
      <c r="W27" s="100">
        <v>200</v>
      </c>
      <c r="X27" s="100">
        <v>200</v>
      </c>
      <c r="Y27" s="100">
        <v>200</v>
      </c>
      <c r="Z27" s="100">
        <v>200</v>
      </c>
      <c r="AA27" s="93">
        <f t="shared" si="3"/>
        <v>2400</v>
      </c>
    </row>
    <row r="28" spans="1:28" x14ac:dyDescent="0.35">
      <c r="A28" s="99" t="s">
        <v>37</v>
      </c>
      <c r="B28" s="100"/>
      <c r="C28" s="100"/>
      <c r="D28" s="100"/>
      <c r="E28" s="100"/>
      <c r="F28" s="100"/>
      <c r="G28" s="100"/>
      <c r="H28" s="100"/>
      <c r="I28" s="100">
        <v>200</v>
      </c>
      <c r="J28" s="100">
        <v>200</v>
      </c>
      <c r="K28" s="100">
        <v>200</v>
      </c>
      <c r="L28" s="100">
        <v>200</v>
      </c>
      <c r="M28" s="100">
        <v>200</v>
      </c>
      <c r="N28" s="93">
        <f t="shared" si="1"/>
        <v>1000</v>
      </c>
      <c r="O28" s="100">
        <v>200</v>
      </c>
      <c r="P28" s="100">
        <v>200</v>
      </c>
      <c r="Q28" s="100">
        <v>200</v>
      </c>
      <c r="R28" s="100">
        <v>200</v>
      </c>
      <c r="S28" s="100">
        <v>200</v>
      </c>
      <c r="T28" s="100">
        <v>200</v>
      </c>
      <c r="U28" s="100">
        <v>200</v>
      </c>
      <c r="V28" s="100">
        <v>200</v>
      </c>
      <c r="W28" s="100">
        <v>200</v>
      </c>
      <c r="X28" s="100">
        <v>200</v>
      </c>
      <c r="Y28" s="100">
        <v>200</v>
      </c>
      <c r="Z28" s="100">
        <v>200</v>
      </c>
      <c r="AA28" s="93">
        <f t="shared" si="3"/>
        <v>2400</v>
      </c>
    </row>
    <row r="29" spans="1:28" x14ac:dyDescent="0.35">
      <c r="A29" s="99" t="s">
        <v>70</v>
      </c>
      <c r="B29" s="100"/>
      <c r="C29" s="100"/>
      <c r="D29" s="100"/>
      <c r="E29" s="100"/>
      <c r="F29" s="100"/>
      <c r="G29" s="100"/>
      <c r="H29" s="100"/>
      <c r="I29" s="100">
        <v>250</v>
      </c>
      <c r="J29" s="100">
        <v>200</v>
      </c>
      <c r="K29" s="100">
        <v>200</v>
      </c>
      <c r="L29" s="100">
        <v>200</v>
      </c>
      <c r="M29" s="100">
        <v>200</v>
      </c>
      <c r="N29" s="93">
        <f t="shared" si="1"/>
        <v>1050</v>
      </c>
      <c r="O29" s="100">
        <v>200</v>
      </c>
      <c r="P29" s="100">
        <v>200</v>
      </c>
      <c r="Q29" s="100">
        <v>200</v>
      </c>
      <c r="R29" s="100">
        <v>200</v>
      </c>
      <c r="S29" s="100">
        <v>200</v>
      </c>
      <c r="T29" s="100">
        <v>200</v>
      </c>
      <c r="U29" s="100">
        <v>200</v>
      </c>
      <c r="V29" s="100">
        <v>200</v>
      </c>
      <c r="W29" s="100">
        <v>200</v>
      </c>
      <c r="X29" s="100">
        <v>200</v>
      </c>
      <c r="Y29" s="100">
        <v>200</v>
      </c>
      <c r="Z29" s="100">
        <v>200</v>
      </c>
      <c r="AA29" s="93">
        <f t="shared" si="3"/>
        <v>2400</v>
      </c>
    </row>
    <row r="30" spans="1:28" x14ac:dyDescent="0.35">
      <c r="A30" s="94" t="s">
        <v>46</v>
      </c>
      <c r="B30" s="91">
        <f>SUM(B3:B29)</f>
        <v>21405</v>
      </c>
      <c r="C30" s="91">
        <f t="shared" ref="C30:M30" si="4">SUM(C3:C29)</f>
        <v>22100</v>
      </c>
      <c r="D30" s="91">
        <f t="shared" si="4"/>
        <v>24310</v>
      </c>
      <c r="E30" s="91">
        <f t="shared" si="4"/>
        <v>26190</v>
      </c>
      <c r="F30" s="91">
        <f t="shared" si="4"/>
        <v>28740</v>
      </c>
      <c r="G30" s="91">
        <f t="shared" si="4"/>
        <v>27500</v>
      </c>
      <c r="H30" s="91">
        <f t="shared" si="4"/>
        <v>28020</v>
      </c>
      <c r="I30" s="91">
        <f t="shared" si="4"/>
        <v>28870</v>
      </c>
      <c r="J30" s="91">
        <f t="shared" si="4"/>
        <v>28490</v>
      </c>
      <c r="K30" s="91">
        <f t="shared" si="4"/>
        <v>28410</v>
      </c>
      <c r="L30" s="91">
        <f t="shared" si="4"/>
        <v>28410</v>
      </c>
      <c r="M30" s="91">
        <f t="shared" si="4"/>
        <v>28410</v>
      </c>
      <c r="N30" s="91">
        <f>SUM(N3:N29)</f>
        <v>320855</v>
      </c>
      <c r="O30" s="91">
        <f>SUM(O3:O23)</f>
        <v>21430</v>
      </c>
      <c r="P30" s="91">
        <f t="shared" ref="P30:Z30" si="5">SUM(P3:P23)</f>
        <v>21150</v>
      </c>
      <c r="Q30" s="91">
        <f t="shared" si="5"/>
        <v>24796.199999999997</v>
      </c>
      <c r="R30" s="91">
        <f t="shared" si="5"/>
        <v>26713.8</v>
      </c>
      <c r="S30" s="91">
        <f t="shared" si="5"/>
        <v>26866.799999999999</v>
      </c>
      <c r="T30" s="91">
        <f t="shared" si="5"/>
        <v>26928</v>
      </c>
      <c r="U30" s="91">
        <f t="shared" si="5"/>
        <v>27458.400000000001</v>
      </c>
      <c r="V30" s="91">
        <f t="shared" si="5"/>
        <v>27458.400000000001</v>
      </c>
      <c r="W30" s="91">
        <f t="shared" si="5"/>
        <v>27325.8</v>
      </c>
      <c r="X30" s="91">
        <f t="shared" si="5"/>
        <v>27244.199999999997</v>
      </c>
      <c r="Y30" s="91">
        <f t="shared" si="5"/>
        <v>27244.199999999997</v>
      </c>
      <c r="Z30" s="91">
        <f t="shared" si="5"/>
        <v>27244.199999999997</v>
      </c>
      <c r="AA30" s="91">
        <f>SUM(AA3:AA23)</f>
        <v>311860</v>
      </c>
    </row>
    <row r="31" spans="1:28" x14ac:dyDescent="0.35">
      <c r="A31" s="1"/>
      <c r="B31" s="3"/>
      <c r="C31" s="3"/>
      <c r="D31" s="3"/>
      <c r="E31" s="3"/>
      <c r="F31" s="3"/>
      <c r="G31" s="3"/>
      <c r="H31" s="1"/>
      <c r="I31" s="1"/>
      <c r="J31" s="1"/>
      <c r="K31" s="1"/>
      <c r="L31" s="1"/>
      <c r="M31" s="1"/>
      <c r="N31" s="10"/>
      <c r="O31" s="10"/>
      <c r="P31" s="58"/>
      <c r="Q31" s="1"/>
      <c r="R31" s="1"/>
      <c r="S31" s="1"/>
      <c r="T31" s="1"/>
      <c r="U31" s="1"/>
      <c r="V31" s="1"/>
      <c r="W31" s="1"/>
      <c r="X31" s="1"/>
      <c r="Y31" s="1"/>
      <c r="Z31" s="1"/>
      <c r="AA31" s="10"/>
    </row>
    <row r="32" spans="1:28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8">
        <f>177/230</f>
        <v>0.76956521739130435</v>
      </c>
      <c r="O32" s="10"/>
      <c r="P32" s="58"/>
      <c r="Q32" s="1"/>
      <c r="R32" s="1"/>
      <c r="S32" s="1"/>
      <c r="T32" s="1"/>
      <c r="U32" s="1"/>
      <c r="V32" s="1"/>
      <c r="W32" s="1"/>
      <c r="X32" s="1"/>
      <c r="Y32" s="1"/>
      <c r="Z32" s="1"/>
      <c r="AA32" s="38"/>
    </row>
    <row r="33" spans="1:27" x14ac:dyDescent="0.35">
      <c r="A33" s="1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10"/>
      <c r="P33" s="58"/>
      <c r="Q33" s="1"/>
      <c r="R33" s="1"/>
      <c r="S33" s="1"/>
      <c r="T33" s="1"/>
      <c r="U33" s="1"/>
      <c r="V33" s="1"/>
      <c r="W33" s="1"/>
      <c r="X33" s="1"/>
      <c r="Y33" s="1"/>
      <c r="Z33" s="1"/>
      <c r="AA33" s="50"/>
    </row>
    <row r="34" spans="1:27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0"/>
      <c r="O34" s="10"/>
      <c r="P34" s="58"/>
      <c r="Q34" s="1"/>
      <c r="R34" s="1"/>
      <c r="S34" s="1"/>
      <c r="T34" s="1"/>
      <c r="U34" s="1"/>
      <c r="V34" s="1"/>
      <c r="W34" s="1"/>
      <c r="X34" s="1"/>
      <c r="Y34" s="1"/>
      <c r="Z34" s="1"/>
      <c r="AA34" s="10"/>
    </row>
    <row r="35" spans="1:27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0"/>
      <c r="O35" s="10"/>
      <c r="P35" s="58"/>
      <c r="Q35" s="1"/>
      <c r="R35" s="1"/>
      <c r="S35" s="1"/>
      <c r="T35" s="1"/>
      <c r="U35" s="1"/>
      <c r="V35" s="1"/>
      <c r="W35" s="1"/>
      <c r="X35" s="1"/>
      <c r="Y35" s="1"/>
      <c r="Z35" s="1"/>
      <c r="AA35" s="10"/>
    </row>
  </sheetData>
  <pageMargins left="0.7" right="0.7" top="0.75" bottom="0.75" header="0.3" footer="0.3"/>
  <headerFooter>
    <oddFooter>&amp;L_x000D_&amp;1#&amp;"Aptos"&amp;10&amp;K000000 Confidential External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9D99-A1DC-4CC6-8CDF-2A8163816F94}">
  <sheetPr codeName="Sheet15">
    <tabColor theme="1"/>
  </sheetPr>
  <dimension ref="A1"/>
  <sheetViews>
    <sheetView workbookViewId="0">
      <selection activeCell="A2" sqref="A2"/>
    </sheetView>
  </sheetViews>
  <sheetFormatPr defaultRowHeight="14.5" x14ac:dyDescent="0.35"/>
  <cols>
    <col min="1" max="1" width="20.81640625" bestFit="1" customWidth="1"/>
  </cols>
  <sheetData>
    <row r="1" spans="1:1" x14ac:dyDescent="0.35">
      <c r="A1" s="134" t="s">
        <v>71</v>
      </c>
    </row>
  </sheetData>
  <hyperlinks>
    <hyperlink ref="A1" r:id="rId1" xr:uid="{657B58B9-94BF-432B-B900-8B23B2F7A9DE}"/>
  </hyperlinks>
  <pageMargins left="0.7" right="0.7" top="0.75" bottom="0.75" header="0.3" footer="0.3"/>
  <headerFooter>
    <oddFooter>&amp;L_x000D_&amp;1#&amp;"Aptos"&amp;10&amp;K000000 Confidential External</oddFooter>
  </headerFooter>
</worksheet>
</file>

<file path=docMetadata/LabelInfo.xml><?xml version="1.0" encoding="utf-8"?>
<clbl:labelList xmlns:clbl="http://schemas.microsoft.com/office/2020/mipLabelMetadata">
  <clbl:label id="{0f72d9ec-2c30-40fe-ad41-6fa50e1910b7}" enabled="1" method="Privileged" siteId="{f704ab1a-3e34-4240-bfe5-b8fce4f8d45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Forecast</vt:lpstr>
      <vt:lpstr>IMS vs FRCST</vt:lpstr>
      <vt:lpstr>IMS +ve Sens</vt:lpstr>
      <vt:lpstr>IMS -ve Sens</vt:lpstr>
      <vt:lpstr>Shipment (Production)</vt:lpstr>
      <vt:lpstr>Arrival to Regie</vt:lpstr>
      <vt:lpstr>Planning FG 50g</vt:lpstr>
      <vt:lpstr>Planning FG 250g</vt:lpstr>
      <vt:lpstr>Planning FG 1kg</vt:lpstr>
      <vt:lpstr>Frcst vs IMS</vt:lpstr>
      <vt:lpstr>2026 Target Approved by AF</vt:lpstr>
      <vt:lpstr>320.000MC</vt:lpstr>
      <vt:lpstr>Recipients</vt:lpstr>
      <vt:lpstr>'Arrival to Regie'!Print_Area</vt:lpstr>
      <vt:lpstr>Forecast!Print_Area</vt:lpstr>
      <vt:lpstr>'IMS vs FRCST'!Print_Area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Walid El Tayeh</dc:creator>
  <cp:keywords/>
  <dc:description/>
  <cp:lastModifiedBy>Walid El Tayeh</cp:lastModifiedBy>
  <cp:revision/>
  <dcterms:created xsi:type="dcterms:W3CDTF">2025-08-03T09:49:54Z</dcterms:created>
  <dcterms:modified xsi:type="dcterms:W3CDTF">2026-03-24T12:13:42Z</dcterms:modified>
  <cp:category/>
  <cp:contentStatus/>
</cp:coreProperties>
</file>